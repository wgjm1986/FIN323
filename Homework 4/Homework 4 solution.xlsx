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<sst xmlns="http://schemas.openxmlformats.org/spreadsheetml/2006/main" count="50" uniqueCount="38">
  <si>
    <t xml:space="preserve">Month</t>
  </si>
  <si>
    <t xml:space="preserve">Market</t>
  </si>
  <si>
    <t xml:space="preserve">Value</t>
  </si>
  <si>
    <t xml:space="preserve">Growth</t>
  </si>
  <si>
    <t xml:space="preserve">Small</t>
  </si>
  <si>
    <t xml:space="preserve">Large</t>
  </si>
  <si>
    <t xml:space="preserve">Value - balanced</t>
  </si>
  <si>
    <t xml:space="preserve">Growth - balanced</t>
  </si>
  <si>
    <t xml:space="preserve">Dollar neutral from class</t>
  </si>
  <si>
    <t xml:space="preserve">Dollar neutral balanced</t>
  </si>
  <si>
    <t xml:space="preserve">Q1</t>
  </si>
  <si>
    <t xml:space="preserve">Value portfolio:</t>
  </si>
  <si>
    <t xml:space="preserve">  alpha</t>
  </si>
  <si>
    <t xml:space="preserve">  beta</t>
  </si>
  <si>
    <t xml:space="preserve">  sigma_e</t>
  </si>
  <si>
    <t xml:space="preserve">  IR</t>
  </si>
  <si>
    <t xml:space="preserve">Dollar-neutral:</t>
  </si>
  <si>
    <t xml:space="preserve">(We calculated these numbers in class, so it’s also acceptable to just cite them.)</t>
  </si>
  <si>
    <t xml:space="preserve">We should assess active strategies based on IR.</t>
  </si>
  <si>
    <t xml:space="preserve">So the investor would choose the long-only approach.</t>
  </si>
  <si>
    <t xml:space="preserve">Q2</t>
  </si>
  <si>
    <t xml:space="preserve">Short growth alpha:</t>
  </si>
  <si>
    <t xml:space="preserve">So the short-selling in the dollar-neutral strategy just adds volatility without much return.</t>
  </si>
  <si>
    <t xml:space="preserve">The extra volatility hurts the IR compared to a simpler idea of just holding value stocks.</t>
  </si>
  <si>
    <t xml:space="preserve">Q3</t>
  </si>
  <si>
    <t xml:space="preserve">Corr(growth,large)</t>
  </si>
  <si>
    <t xml:space="preserve">This makes sense, because a growth stock is one with a high price relative to fundamentals, and this would tend to be larger cap stocks in general though they aren’t exactly the same thing. Since each portfolio is value-weighted, there will be a lot of large cap stocks in common between the two portfolios and then they will completely drive the returns, which will end up looking the same.</t>
  </si>
  <si>
    <t xml:space="preserve">Q4</t>
  </si>
  <si>
    <t xml:space="preserve">Short large alpha:</t>
  </si>
  <si>
    <t xml:space="preserve">Our “unbalanced” short growth position ends up being mainly a bet against large-cap stocks, which has not been a good bed. But maybe if we “balance” the portfolio, we can end up with a bet against growth stocks that is different from a bet against large-cap stocks.</t>
  </si>
  <si>
    <t xml:space="preserve">Q5</t>
  </si>
  <si>
    <t xml:space="preserve">Short balanced growth alpha:</t>
  </si>
  <si>
    <t xml:space="preserve">Balanced value:</t>
  </si>
  <si>
    <t xml:space="preserve">Balanced dollar-neutral:</t>
  </si>
  <si>
    <t xml:space="preserve">Greater than o32, o9, o4</t>
  </si>
  <si>
    <t xml:space="preserve">Greater than o35, o12, o7</t>
  </si>
  <si>
    <t xml:space="preserve">The performance of the dollar-neutral strategy improves significantly when we balance by market capitalization.</t>
  </si>
  <si>
    <t xml:space="preserve">In particular, this approach seems important for us to get any extra benefit out of short-selling growth, as opposed to just holding value stocks.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</si>
</sst>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yyyy\-mm"/>
    <numFmt numFmtId="167" formatCode="0.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7" activeCellId="0" sqref="P17"/>
    </sheetView>
  </sheetViews>
  <sheetFormatPr defaultColWidth="8.72265625" defaultRowHeight="13.8" zeroHeight="false" outlineLevelRow="0" outlineLevelCol="0"/>
  <cols>
    <col collapsed="false" customWidth="true" hidden="false" outlineLevel="0" max="6" min="2" style="1" width="8.8"/>
    <col collapsed="false" customWidth="true" hidden="false" outlineLevel="0" max="7" min="7" style="1" width="15.74"/>
    <col collapsed="false" customWidth="true" hidden="false" outlineLevel="0" max="8" min="8" style="1" width="17.4"/>
    <col collapsed="false" customWidth="true" hidden="false" outlineLevel="0" max="10" min="10" style="2" width="21.71"/>
    <col collapsed="false" customWidth="true" hidden="false" outlineLevel="0" max="11" min="11" style="2" width="20.74"/>
    <col collapsed="false" customWidth="true" hidden="false" outlineLevel="0" max="13" min="13" style="2" width="9.16"/>
    <col collapsed="false" customWidth="true" hidden="false" outlineLevel="0" max="14" min="14" style="2" width="25.56"/>
    <col collapsed="false" customWidth="true" hidden="false" outlineLevel="0" max="15" min="15" style="0" width="10.29"/>
    <col collapsed="false" customWidth="true" hidden="false" outlineLevel="0" max="16" min="16" style="0" width="12.38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2" t="s">
        <v>8</v>
      </c>
      <c r="K1" s="2" t="s">
        <v>9</v>
      </c>
    </row>
    <row r="2" customFormat="false" ht="13.8" hidden="false" customHeight="false" outlineLevel="0" collapsed="false">
      <c r="A2" s="5" t="n">
        <v>25934</v>
      </c>
      <c r="B2" s="1" t="n">
        <v>0.0484</v>
      </c>
      <c r="C2" s="1" t="n">
        <v>0.0589</v>
      </c>
      <c r="D2" s="1" t="n">
        <v>0.0469</v>
      </c>
      <c r="E2" s="1" t="n">
        <v>0.138</v>
      </c>
      <c r="F2" s="1" t="n">
        <v>0.0379</v>
      </c>
      <c r="G2" s="1" t="n">
        <v>0.085129</v>
      </c>
      <c r="H2" s="1" t="n">
        <v>0.071829</v>
      </c>
      <c r="J2" s="1" t="n">
        <f aca="false">C2-D2</f>
        <v>0.012</v>
      </c>
      <c r="K2" s="1" t="n">
        <f aca="false">G2-H2</f>
        <v>0.0133</v>
      </c>
      <c r="N2" s="6" t="s">
        <v>10</v>
      </c>
    </row>
    <row r="3" customFormat="false" ht="13.8" hidden="false" customHeight="false" outlineLevel="0" collapsed="false">
      <c r="A3" s="5" t="n">
        <v>25965</v>
      </c>
      <c r="B3" s="1" t="n">
        <v>0.0141</v>
      </c>
      <c r="C3" s="1" t="n">
        <v>0.0178</v>
      </c>
      <c r="D3" s="1" t="n">
        <v>0.022</v>
      </c>
      <c r="E3" s="1" t="n">
        <v>0.044</v>
      </c>
      <c r="F3" s="1" t="n">
        <v>0.0109</v>
      </c>
      <c r="G3" s="1" t="n">
        <v>0.018913</v>
      </c>
      <c r="H3" s="1" t="n">
        <v>0.0311955</v>
      </c>
      <c r="J3" s="1" t="n">
        <f aca="false">C3-D3</f>
        <v>-0.0042</v>
      </c>
      <c r="K3" s="1" t="n">
        <f aca="false">G3-H3</f>
        <v>-0.0122825</v>
      </c>
      <c r="N3" s="2" t="s">
        <v>11</v>
      </c>
    </row>
    <row r="4" customFormat="false" ht="13.8" hidden="false" customHeight="false" outlineLevel="0" collapsed="false">
      <c r="A4" s="5" t="n">
        <v>25993</v>
      </c>
      <c r="B4" s="1" t="n">
        <v>0.0413</v>
      </c>
      <c r="C4" s="1" t="n">
        <v>0.0216</v>
      </c>
      <c r="D4" s="1" t="n">
        <v>0.0576</v>
      </c>
      <c r="E4" s="1" t="n">
        <v>0.0547</v>
      </c>
      <c r="F4" s="1" t="n">
        <v>0.0373</v>
      </c>
      <c r="G4" s="1" t="n">
        <v>0.0313285</v>
      </c>
      <c r="H4" s="1" t="n">
        <v>0.0707945</v>
      </c>
      <c r="J4" s="1" t="n">
        <f aca="false">C4-D4</f>
        <v>-0.036</v>
      </c>
      <c r="K4" s="1" t="n">
        <f aca="false">G4-H4</f>
        <v>-0.039466</v>
      </c>
      <c r="N4" s="2" t="s">
        <v>12</v>
      </c>
      <c r="O4" s="1" t="n">
        <f aca="false">INTERCEPT(C2:C361,B2:B361)</f>
        <v>0.00393199004102625</v>
      </c>
    </row>
    <row r="5" customFormat="false" ht="13.8" hidden="false" customHeight="false" outlineLevel="0" collapsed="false">
      <c r="A5" s="5" t="n">
        <v>26024</v>
      </c>
      <c r="B5" s="1" t="n">
        <v>0.0315</v>
      </c>
      <c r="C5" s="1" t="n">
        <v>0.0456</v>
      </c>
      <c r="D5" s="1" t="n">
        <v>0.0357</v>
      </c>
      <c r="E5" s="1" t="n">
        <v>0.0222</v>
      </c>
      <c r="F5" s="1" t="n">
        <v>0.0319</v>
      </c>
      <c r="G5" s="1" t="n">
        <v>0.039011</v>
      </c>
      <c r="H5" s="1" t="n">
        <v>0.032156</v>
      </c>
      <c r="J5" s="1" t="n">
        <f aca="false">C5-D5</f>
        <v>0.0099</v>
      </c>
      <c r="K5" s="1" t="n">
        <f aca="false">G5-H5</f>
        <v>0.006855</v>
      </c>
      <c r="N5" s="2" t="s">
        <v>13</v>
      </c>
      <c r="O5" s="7" t="n">
        <f aca="false">SLOPE(C2:C361,B2:B361)</f>
        <v>0.875410598741716</v>
      </c>
    </row>
    <row r="6" customFormat="false" ht="13.8" hidden="false" customHeight="false" outlineLevel="0" collapsed="false">
      <c r="A6" s="5" t="n">
        <v>26054</v>
      </c>
      <c r="B6" s="1" t="n">
        <v>-0.0398</v>
      </c>
      <c r="C6" s="1" t="n">
        <v>-0.0492</v>
      </c>
      <c r="D6" s="1" t="n">
        <v>-0.0314</v>
      </c>
      <c r="E6" s="1" t="n">
        <v>-0.0607</v>
      </c>
      <c r="F6" s="1" t="n">
        <v>-0.0393</v>
      </c>
      <c r="G6" s="1" t="n">
        <v>-0.0511405</v>
      </c>
      <c r="H6" s="1" t="n">
        <v>-0.036786</v>
      </c>
      <c r="J6" s="1" t="n">
        <f aca="false">C6-D6</f>
        <v>-0.0178</v>
      </c>
      <c r="K6" s="1" t="n">
        <f aca="false">G6-H6</f>
        <v>-0.0143545</v>
      </c>
      <c r="N6" s="2" t="s">
        <v>14</v>
      </c>
      <c r="O6" s="8" t="n">
        <f aca="false">SQRT( STDEV(C2:C361)^2 - O5^2*STDEV(B2:B361)^2)</f>
        <v>0.0211129456134362</v>
      </c>
    </row>
    <row r="7" customFormat="false" ht="13.8" hidden="false" customHeight="false" outlineLevel="0" collapsed="false">
      <c r="A7" s="5" t="n">
        <v>26085</v>
      </c>
      <c r="B7" s="1" t="n">
        <v>-0.001</v>
      </c>
      <c r="C7" s="1" t="n">
        <v>-0.008</v>
      </c>
      <c r="D7" s="1" t="n">
        <v>0.0071</v>
      </c>
      <c r="E7" s="1" t="n">
        <v>-0.0252</v>
      </c>
      <c r="F7" s="1" t="n">
        <v>0.0016</v>
      </c>
      <c r="G7" s="1" t="n">
        <v>-0.0154645</v>
      </c>
      <c r="H7" s="1" t="n">
        <v>0.0032085</v>
      </c>
      <c r="J7" s="1" t="n">
        <f aca="false">C7-D7</f>
        <v>-0.0151</v>
      </c>
      <c r="K7" s="1" t="n">
        <f aca="false">G7-H7</f>
        <v>-0.018673</v>
      </c>
      <c r="N7" s="2" t="s">
        <v>15</v>
      </c>
      <c r="O7" s="8" t="n">
        <f aca="false">O4/O6</f>
        <v>0.186235976401319</v>
      </c>
    </row>
    <row r="8" customFormat="false" ht="13.8" hidden="false" customHeight="false" outlineLevel="0" collapsed="false">
      <c r="A8" s="5" t="n">
        <v>26115</v>
      </c>
      <c r="B8" s="1" t="n">
        <v>-0.045</v>
      </c>
      <c r="C8" s="1" t="n">
        <v>-0.0553</v>
      </c>
      <c r="D8" s="1" t="n">
        <v>-0.0464</v>
      </c>
      <c r="E8" s="1" t="n">
        <v>-0.0668</v>
      </c>
      <c r="F8" s="1" t="n">
        <v>-0.0428</v>
      </c>
      <c r="G8" s="1" t="n">
        <v>-0.0576295</v>
      </c>
      <c r="H8" s="1" t="n">
        <v>-0.0578435</v>
      </c>
      <c r="J8" s="1" t="n">
        <f aca="false">C8-D8</f>
        <v>-0.00890000000000001</v>
      </c>
      <c r="K8" s="1" t="n">
        <f aca="false">G8-H8</f>
        <v>0.000213999999999999</v>
      </c>
      <c r="N8" s="2" t="s">
        <v>16</v>
      </c>
      <c r="P8" s="2" t="s">
        <v>17</v>
      </c>
    </row>
    <row r="9" customFormat="false" ht="13.8" hidden="false" customHeight="false" outlineLevel="0" collapsed="false">
      <c r="A9" s="5" t="n">
        <v>26146</v>
      </c>
      <c r="B9" s="1" t="n">
        <v>0.0379</v>
      </c>
      <c r="C9" s="1" t="n">
        <v>0.0754</v>
      </c>
      <c r="D9" s="1" t="n">
        <v>0.0497</v>
      </c>
      <c r="E9" s="1" t="n">
        <v>0.0405</v>
      </c>
      <c r="F9" s="1" t="n">
        <v>0.0354</v>
      </c>
      <c r="G9" s="1" t="n">
        <v>0.07068</v>
      </c>
      <c r="H9" s="1" t="n">
        <v>0.0443775</v>
      </c>
      <c r="J9" s="1" t="n">
        <f aca="false">C9-D9</f>
        <v>0.0257</v>
      </c>
      <c r="K9" s="1" t="n">
        <f aca="false">G9-H9</f>
        <v>0.0263025</v>
      </c>
      <c r="N9" s="2" t="s">
        <v>12</v>
      </c>
      <c r="O9" s="1" t="n">
        <f aca="false">INTERCEPT(J2:J361,B2:B361)</f>
        <v>0.00472978399782408</v>
      </c>
    </row>
    <row r="10" customFormat="false" ht="13.8" hidden="false" customHeight="false" outlineLevel="0" collapsed="false">
      <c r="A10" s="5" t="n">
        <v>26177</v>
      </c>
      <c r="B10" s="1" t="n">
        <v>-0.0085</v>
      </c>
      <c r="C10" s="1" t="n">
        <v>-0.0278</v>
      </c>
      <c r="D10" s="1" t="n">
        <v>0.0002</v>
      </c>
      <c r="E10" s="1" t="n">
        <v>-0.0092</v>
      </c>
      <c r="F10" s="1" t="n">
        <v>-0.0086</v>
      </c>
      <c r="G10" s="1" t="n">
        <v>-0.0265075</v>
      </c>
      <c r="H10" s="1" t="n">
        <v>0.0026135</v>
      </c>
      <c r="J10" s="1" t="n">
        <f aca="false">C10-D10</f>
        <v>-0.028</v>
      </c>
      <c r="K10" s="1" t="n">
        <f aca="false">G10-H10</f>
        <v>-0.029121</v>
      </c>
      <c r="N10" s="2" t="s">
        <v>13</v>
      </c>
      <c r="O10" s="7" t="n">
        <f aca="false">SLOPE(J2:J361,B2:B361)</f>
        <v>-0.194966881553934</v>
      </c>
    </row>
    <row r="11" customFormat="false" ht="13.8" hidden="false" customHeight="false" outlineLevel="0" collapsed="false">
      <c r="A11" s="5" t="n">
        <v>26207</v>
      </c>
      <c r="B11" s="1" t="n">
        <v>-0.0442</v>
      </c>
      <c r="C11" s="1" t="n">
        <v>-0.052</v>
      </c>
      <c r="D11" s="1" t="n">
        <v>-0.0436</v>
      </c>
      <c r="E11" s="1" t="n">
        <v>-0.066</v>
      </c>
      <c r="F11" s="1" t="n">
        <v>-0.0411</v>
      </c>
      <c r="G11" s="1" t="n">
        <v>-0.057698</v>
      </c>
      <c r="H11" s="1" t="n">
        <v>-0.0529325</v>
      </c>
      <c r="J11" s="1" t="n">
        <f aca="false">C11-D11</f>
        <v>-0.0084</v>
      </c>
      <c r="K11" s="1" t="n">
        <f aca="false">G11-H11</f>
        <v>-0.0047655</v>
      </c>
      <c r="N11" s="2" t="s">
        <v>14</v>
      </c>
      <c r="O11" s="8" t="n">
        <f aca="false">SQRT(STDEV(J2:J361)^2 - O10^2*STDEV(B2:B361)^2)</f>
        <v>0.0293775104141882</v>
      </c>
    </row>
    <row r="12" customFormat="false" ht="13.8" hidden="false" customHeight="false" outlineLevel="0" collapsed="false">
      <c r="A12" s="5" t="n">
        <v>26238</v>
      </c>
      <c r="B12" s="1" t="n">
        <v>-0.0046</v>
      </c>
      <c r="C12" s="1" t="n">
        <v>-0.0246</v>
      </c>
      <c r="D12" s="1" t="n">
        <v>0.0032</v>
      </c>
      <c r="E12" s="1" t="n">
        <v>-0.0475</v>
      </c>
      <c r="F12" s="1" t="n">
        <v>0.0002</v>
      </c>
      <c r="G12" s="1" t="n">
        <v>-0.031034</v>
      </c>
      <c r="H12" s="1" t="n">
        <v>-0.0142205</v>
      </c>
      <c r="J12" s="1" t="n">
        <f aca="false">C12-D12</f>
        <v>-0.0278</v>
      </c>
      <c r="K12" s="1" t="n">
        <f aca="false">G12-H12</f>
        <v>-0.0168135</v>
      </c>
      <c r="N12" s="2" t="s">
        <v>15</v>
      </c>
      <c r="O12" s="8" t="n">
        <f aca="false">O9/O11</f>
        <v>0.161000164109882</v>
      </c>
    </row>
    <row r="13" customFormat="false" ht="13.8" hidden="false" customHeight="false" outlineLevel="0" collapsed="false">
      <c r="A13" s="5" t="n">
        <v>26268</v>
      </c>
      <c r="B13" s="1" t="n">
        <v>0.0871</v>
      </c>
      <c r="C13" s="1" t="n">
        <v>0.0978</v>
      </c>
      <c r="D13" s="1" t="n">
        <v>0.0878</v>
      </c>
      <c r="E13" s="1" t="n">
        <v>0.1265</v>
      </c>
      <c r="F13" s="1" t="n">
        <v>0.0811</v>
      </c>
      <c r="G13" s="1" t="n">
        <v>0.1044005</v>
      </c>
      <c r="H13" s="1" t="n">
        <v>0.10837</v>
      </c>
      <c r="J13" s="1" t="n">
        <f aca="false">C13-D13</f>
        <v>0.01</v>
      </c>
      <c r="K13" s="1" t="n">
        <f aca="false">G13-H13</f>
        <v>-0.0039695</v>
      </c>
      <c r="N13" s="2" t="s">
        <v>18</v>
      </c>
    </row>
    <row r="14" customFormat="false" ht="13.8" hidden="false" customHeight="false" outlineLevel="0" collapsed="false">
      <c r="A14" s="5" t="n">
        <v>26299</v>
      </c>
      <c r="B14" s="1" t="n">
        <v>0.0249</v>
      </c>
      <c r="C14" s="1" t="n">
        <v>0.062</v>
      </c>
      <c r="D14" s="1" t="n">
        <v>0.0263</v>
      </c>
      <c r="E14" s="1" t="n">
        <v>0.1107</v>
      </c>
      <c r="F14" s="1" t="n">
        <v>0.0154</v>
      </c>
      <c r="G14" s="1" t="n">
        <v>0.075212</v>
      </c>
      <c r="H14" s="1" t="n">
        <v>0.0528485</v>
      </c>
      <c r="J14" s="1" t="n">
        <f aca="false">C14-D14</f>
        <v>0.0357</v>
      </c>
      <c r="K14" s="1" t="n">
        <f aca="false">G14-H14</f>
        <v>0.0223635</v>
      </c>
      <c r="N14" s="2" t="s">
        <v>19</v>
      </c>
    </row>
    <row r="15" customFormat="false" ht="13.8" hidden="false" customHeight="false" outlineLevel="0" collapsed="false">
      <c r="A15" s="5" t="n">
        <v>26330</v>
      </c>
      <c r="B15" s="1" t="n">
        <v>0.0287</v>
      </c>
      <c r="C15" s="1" t="n">
        <v>0.0115</v>
      </c>
      <c r="D15" s="1" t="n">
        <v>0.043</v>
      </c>
      <c r="E15" s="1" t="n">
        <v>0.037</v>
      </c>
      <c r="F15" s="1" t="n">
        <v>0.0273</v>
      </c>
      <c r="G15" s="1" t="n">
        <v>0.0156045</v>
      </c>
      <c r="H15" s="1" t="n">
        <v>0.04355</v>
      </c>
      <c r="J15" s="1" t="n">
        <f aca="false">C15-D15</f>
        <v>-0.0315</v>
      </c>
      <c r="K15" s="1" t="n">
        <f aca="false">G15-H15</f>
        <v>-0.0279455</v>
      </c>
    </row>
    <row r="16" customFormat="false" ht="13.8" hidden="false" customHeight="false" outlineLevel="0" collapsed="false">
      <c r="A16" s="5" t="n">
        <v>26359</v>
      </c>
      <c r="B16" s="1" t="n">
        <v>0.0063</v>
      </c>
      <c r="C16" s="1" t="n">
        <v>0.0033</v>
      </c>
      <c r="D16" s="1" t="n">
        <v>0.0189</v>
      </c>
      <c r="E16" s="1" t="n">
        <v>-0.0053</v>
      </c>
      <c r="F16" s="1" t="n">
        <v>0.0064</v>
      </c>
      <c r="G16" s="1" t="n">
        <v>6.24999999999996E-005</v>
      </c>
      <c r="H16" s="1" t="n">
        <v>0.016138</v>
      </c>
      <c r="J16" s="1" t="n">
        <f aca="false">C16-D16</f>
        <v>-0.0156</v>
      </c>
      <c r="K16" s="1" t="n">
        <f aca="false">G16-H16</f>
        <v>-0.0160755</v>
      </c>
      <c r="N16" s="6" t="s">
        <v>20</v>
      </c>
    </row>
    <row r="17" customFormat="false" ht="13.8" hidden="false" customHeight="false" outlineLevel="0" collapsed="false">
      <c r="A17" s="5" t="n">
        <v>26390</v>
      </c>
      <c r="B17" s="1" t="n">
        <v>0.0029</v>
      </c>
      <c r="C17" s="1" t="n">
        <v>0.0066</v>
      </c>
      <c r="D17" s="1" t="n">
        <v>0.0049</v>
      </c>
      <c r="E17" s="1" t="n">
        <v>0.0041</v>
      </c>
      <c r="F17" s="1" t="n">
        <v>0.0036</v>
      </c>
      <c r="G17" s="1" t="n">
        <v>0.005126</v>
      </c>
      <c r="H17" s="1" t="n">
        <v>0.0038975</v>
      </c>
      <c r="J17" s="1" t="n">
        <f aca="false">C17-D17</f>
        <v>0.0017</v>
      </c>
      <c r="K17" s="1" t="n">
        <f aca="false">G17-H17</f>
        <v>0.0012285</v>
      </c>
      <c r="N17" s="2" t="s">
        <v>21</v>
      </c>
      <c r="O17" s="1" t="n">
        <f aca="false">-INTERCEPT(D2:D361,B2:B361)</f>
        <v>0.000797793956797834</v>
      </c>
    </row>
    <row r="18" customFormat="false" ht="13.8" hidden="false" customHeight="false" outlineLevel="0" collapsed="false">
      <c r="A18" s="5" t="n">
        <v>26420</v>
      </c>
      <c r="B18" s="1" t="n">
        <v>0.0125</v>
      </c>
      <c r="C18" s="1" t="n">
        <v>-0.0215</v>
      </c>
      <c r="D18" s="1" t="n">
        <v>0.0243</v>
      </c>
      <c r="E18" s="1" t="n">
        <v>-0.0299</v>
      </c>
      <c r="F18" s="1" t="n">
        <v>0.0168</v>
      </c>
      <c r="G18" s="1" t="n">
        <v>-0.0241785</v>
      </c>
      <c r="H18" s="1" t="n">
        <v>0.00278</v>
      </c>
      <c r="J18" s="1" t="n">
        <f aca="false">C18-D18</f>
        <v>-0.0458</v>
      </c>
      <c r="K18" s="1" t="n">
        <f aca="false">G18-H18</f>
        <v>-0.0269585</v>
      </c>
      <c r="N18" s="9" t="s">
        <v>22</v>
      </c>
    </row>
    <row r="19" customFormat="false" ht="13.8" hidden="false" customHeight="false" outlineLevel="0" collapsed="false">
      <c r="A19" s="5" t="n">
        <v>26451</v>
      </c>
      <c r="B19" s="1" t="n">
        <v>-0.0243</v>
      </c>
      <c r="C19" s="1" t="n">
        <v>-0.0581</v>
      </c>
      <c r="D19" s="1" t="n">
        <v>-0.0146</v>
      </c>
      <c r="E19" s="1" t="n">
        <v>-0.0352</v>
      </c>
      <c r="F19" s="1" t="n">
        <v>-0.0225</v>
      </c>
      <c r="G19" s="1" t="n">
        <v>-0.050247</v>
      </c>
      <c r="H19" s="1" t="n">
        <v>-0.0254515</v>
      </c>
      <c r="J19" s="1" t="n">
        <f aca="false">C19-D19</f>
        <v>-0.0435</v>
      </c>
      <c r="K19" s="1" t="n">
        <f aca="false">G19-H19</f>
        <v>-0.0247955</v>
      </c>
      <c r="N19" s="9" t="s">
        <v>23</v>
      </c>
    </row>
    <row r="20" customFormat="false" ht="13.8" hidden="false" customHeight="false" outlineLevel="0" collapsed="false">
      <c r="A20" s="5" t="n">
        <v>26481</v>
      </c>
      <c r="B20" s="1" t="n">
        <v>-0.008</v>
      </c>
      <c r="C20" s="1" t="n">
        <v>-0.0158</v>
      </c>
      <c r="D20" s="1" t="n">
        <v>0.0005</v>
      </c>
      <c r="E20" s="1" t="n">
        <v>-0.0435</v>
      </c>
      <c r="F20" s="1" t="n">
        <v>-0.0023</v>
      </c>
      <c r="G20" s="1" t="n">
        <v>-0.018874</v>
      </c>
      <c r="H20" s="1" t="n">
        <v>-0.0255035</v>
      </c>
      <c r="J20" s="1" t="n">
        <f aca="false">C20-D20</f>
        <v>-0.0163</v>
      </c>
      <c r="K20" s="1" t="n">
        <f aca="false">G20-H20</f>
        <v>0.0066295</v>
      </c>
    </row>
    <row r="21" customFormat="false" ht="13.8" hidden="false" customHeight="false" outlineLevel="0" collapsed="false">
      <c r="A21" s="5" t="n">
        <v>26512</v>
      </c>
      <c r="B21" s="1" t="n">
        <v>0.0326</v>
      </c>
      <c r="C21" s="1" t="n">
        <v>0.0626</v>
      </c>
      <c r="D21" s="1" t="n">
        <v>0.0111</v>
      </c>
      <c r="E21" s="1" t="n">
        <v>-0.002</v>
      </c>
      <c r="F21" s="1" t="n">
        <v>0.0364</v>
      </c>
      <c r="G21" s="1" t="n">
        <v>0.0461115</v>
      </c>
      <c r="H21" s="1" t="n">
        <v>0.0006895</v>
      </c>
      <c r="J21" s="1" t="n">
        <f aca="false">C21-D21</f>
        <v>0.0515</v>
      </c>
      <c r="K21" s="1" t="n">
        <f aca="false">G21-H21</f>
        <v>0.045422</v>
      </c>
      <c r="N21" s="6" t="s">
        <v>24</v>
      </c>
    </row>
    <row r="22" customFormat="false" ht="13.8" hidden="false" customHeight="false" outlineLevel="0" collapsed="false">
      <c r="A22" s="5" t="n">
        <v>26543</v>
      </c>
      <c r="B22" s="1" t="n">
        <v>-0.0114</v>
      </c>
      <c r="C22" s="1" t="n">
        <v>-0.0062</v>
      </c>
      <c r="D22" s="1" t="n">
        <v>-0.0094</v>
      </c>
      <c r="E22" s="1" t="n">
        <v>-0.043</v>
      </c>
      <c r="F22" s="1" t="n">
        <v>-0.0065</v>
      </c>
      <c r="G22" s="1" t="n">
        <v>-0.018199</v>
      </c>
      <c r="H22" s="1" t="n">
        <v>-0.022818</v>
      </c>
      <c r="J22" s="1" t="n">
        <f aca="false">C22-D22</f>
        <v>0.0032</v>
      </c>
      <c r="K22" s="1" t="n">
        <f aca="false">G22-H22</f>
        <v>0.004619</v>
      </c>
      <c r="N22" s="9" t="s">
        <v>25</v>
      </c>
      <c r="O22" s="1" t="n">
        <f aca="false">CORREL(D2:D361,F2:F361)</f>
        <v>0.973875174511963</v>
      </c>
      <c r="P22" s="10"/>
    </row>
    <row r="23" customFormat="false" ht="13.8" hidden="false" customHeight="false" outlineLevel="0" collapsed="false">
      <c r="A23" s="5" t="n">
        <v>26573</v>
      </c>
      <c r="B23" s="1" t="n">
        <v>0.0052</v>
      </c>
      <c r="C23" s="1" t="n">
        <v>0.0087</v>
      </c>
      <c r="D23" s="1" t="n">
        <v>0</v>
      </c>
      <c r="E23" s="1" t="n">
        <v>-0.0247</v>
      </c>
      <c r="F23" s="1" t="n">
        <v>0.0088</v>
      </c>
      <c r="G23" s="1" t="n">
        <v>-0.000853499999999999</v>
      </c>
      <c r="H23" s="1" t="n">
        <v>-0.014273</v>
      </c>
      <c r="J23" s="1" t="n">
        <f aca="false">C23-D23</f>
        <v>0.0087</v>
      </c>
      <c r="K23" s="1" t="n">
        <f aca="false">G23-H23</f>
        <v>0.0134195</v>
      </c>
      <c r="N23" s="9" t="s">
        <v>26</v>
      </c>
    </row>
    <row r="24" customFormat="false" ht="13.8" hidden="false" customHeight="false" outlineLevel="0" collapsed="false">
      <c r="A24" s="5" t="n">
        <v>26604</v>
      </c>
      <c r="B24" s="1" t="n">
        <v>0.046</v>
      </c>
      <c r="C24" s="1" t="n">
        <v>0.0887</v>
      </c>
      <c r="D24" s="1" t="n">
        <v>0.0261</v>
      </c>
      <c r="E24" s="1" t="n">
        <v>0.0474</v>
      </c>
      <c r="F24" s="1" t="n">
        <v>0.0438</v>
      </c>
      <c r="G24" s="1" t="n">
        <v>0.0765665</v>
      </c>
      <c r="H24" s="1" t="n">
        <v>0.0280605</v>
      </c>
      <c r="J24" s="1" t="n">
        <f aca="false">C24-D24</f>
        <v>0.0626</v>
      </c>
      <c r="K24" s="1" t="n">
        <f aca="false">G24-H24</f>
        <v>0.048506</v>
      </c>
    </row>
    <row r="25" customFormat="false" ht="13.8" hidden="false" customHeight="false" outlineLevel="0" collapsed="false">
      <c r="A25" s="5" t="n">
        <v>26634</v>
      </c>
      <c r="B25" s="1" t="n">
        <v>0.0062</v>
      </c>
      <c r="C25" s="1" t="n">
        <v>-0.0118</v>
      </c>
      <c r="D25" s="1" t="n">
        <v>0.0215</v>
      </c>
      <c r="E25" s="1" t="n">
        <v>-0.0274</v>
      </c>
      <c r="F25" s="1" t="n">
        <v>0.0106</v>
      </c>
      <c r="G25" s="1" t="n">
        <v>-0.018136</v>
      </c>
      <c r="H25" s="1" t="n">
        <v>0.003745</v>
      </c>
      <c r="J25" s="1" t="n">
        <f aca="false">C25-D25</f>
        <v>-0.0333</v>
      </c>
      <c r="K25" s="1" t="n">
        <f aca="false">G25-H25</f>
        <v>-0.021881</v>
      </c>
      <c r="N25" s="6" t="s">
        <v>27</v>
      </c>
    </row>
    <row r="26" customFormat="false" ht="13.8" hidden="false" customHeight="false" outlineLevel="0" collapsed="false">
      <c r="A26" s="5" t="n">
        <v>26665</v>
      </c>
      <c r="B26" s="1" t="n">
        <v>-0.0329</v>
      </c>
      <c r="C26" s="1" t="n">
        <v>-0.0217</v>
      </c>
      <c r="D26" s="1" t="n">
        <v>-0.0323</v>
      </c>
      <c r="E26" s="1" t="n">
        <v>-0.0473</v>
      </c>
      <c r="F26" s="1" t="n">
        <v>-0.0241</v>
      </c>
      <c r="G26" s="1" t="n">
        <v>-0.030036</v>
      </c>
      <c r="H26" s="1" t="n">
        <v>-0.0568255</v>
      </c>
      <c r="J26" s="1" t="n">
        <f aca="false">C26-D26</f>
        <v>0.0106</v>
      </c>
      <c r="K26" s="1" t="n">
        <f aca="false">G26-H26</f>
        <v>0.0267895</v>
      </c>
      <c r="N26" s="9" t="s">
        <v>28</v>
      </c>
      <c r="O26" s="1" t="n">
        <f aca="false">-INTERCEPT(F2:F361,B2:B361)</f>
        <v>-0.000185400009000628</v>
      </c>
    </row>
    <row r="27" customFormat="false" ht="13.8" hidden="false" customHeight="false" outlineLevel="0" collapsed="false">
      <c r="A27" s="5" t="n">
        <v>26696</v>
      </c>
      <c r="B27" s="1" t="n">
        <v>-0.0485</v>
      </c>
      <c r="C27" s="1" t="n">
        <v>-0.0545</v>
      </c>
      <c r="D27" s="1" t="n">
        <v>-0.0372</v>
      </c>
      <c r="E27" s="1" t="n">
        <v>-0.0882</v>
      </c>
      <c r="F27" s="1" t="n">
        <v>-0.04</v>
      </c>
      <c r="G27" s="1" t="n">
        <v>-0.058061</v>
      </c>
      <c r="H27" s="1" t="n">
        <v>-0.0740295</v>
      </c>
      <c r="J27" s="1" t="n">
        <f aca="false">C27-D27</f>
        <v>-0.0173</v>
      </c>
      <c r="K27" s="1" t="n">
        <f aca="false">G27-H27</f>
        <v>0.0159685</v>
      </c>
      <c r="N27" s="9" t="s">
        <v>29</v>
      </c>
    </row>
    <row r="28" customFormat="false" ht="13.8" hidden="false" customHeight="false" outlineLevel="0" collapsed="false">
      <c r="A28" s="5" t="n">
        <v>26724</v>
      </c>
      <c r="B28" s="1" t="n">
        <v>-0.013</v>
      </c>
      <c r="C28" s="1" t="n">
        <v>0.0049</v>
      </c>
      <c r="D28" s="1" t="n">
        <v>-0.0178</v>
      </c>
      <c r="E28" s="1" t="n">
        <v>-0.0301</v>
      </c>
      <c r="F28" s="1" t="n">
        <v>-0.007</v>
      </c>
      <c r="G28" s="1" t="n">
        <v>-0.004477</v>
      </c>
      <c r="H28" s="1" t="n">
        <v>-0.0307155</v>
      </c>
      <c r="J28" s="1" t="n">
        <f aca="false">C28-D28</f>
        <v>0.0227</v>
      </c>
      <c r="K28" s="1" t="n">
        <f aca="false">G28-H28</f>
        <v>0.0262385</v>
      </c>
    </row>
    <row r="29" customFormat="false" ht="13.8" hidden="false" customHeight="false" outlineLevel="0" collapsed="false">
      <c r="A29" s="5" t="n">
        <v>26755</v>
      </c>
      <c r="B29" s="1" t="n">
        <v>-0.0568</v>
      </c>
      <c r="C29" s="1" t="n">
        <v>-0.0234</v>
      </c>
      <c r="D29" s="1" t="n">
        <v>-0.0674</v>
      </c>
      <c r="E29" s="1" t="n">
        <v>-0.0779</v>
      </c>
      <c r="F29" s="1" t="n">
        <v>-0.0473</v>
      </c>
      <c r="G29" s="1" t="n">
        <v>-0.037086</v>
      </c>
      <c r="H29" s="1" t="n">
        <v>-0.0912325</v>
      </c>
      <c r="J29" s="1" t="n">
        <f aca="false">C29-D29</f>
        <v>0.044</v>
      </c>
      <c r="K29" s="1" t="n">
        <f aca="false">G29-H29</f>
        <v>0.0541465</v>
      </c>
      <c r="N29" s="6" t="s">
        <v>30</v>
      </c>
    </row>
    <row r="30" customFormat="false" ht="13.8" hidden="false" customHeight="false" outlineLevel="0" collapsed="false">
      <c r="A30" s="5" t="n">
        <v>26785</v>
      </c>
      <c r="B30" s="1" t="n">
        <v>-0.0294</v>
      </c>
      <c r="C30" s="1" t="n">
        <v>-0.0431</v>
      </c>
      <c r="D30" s="1" t="n">
        <v>-0.0167</v>
      </c>
      <c r="E30" s="1" t="n">
        <v>-0.0951</v>
      </c>
      <c r="F30" s="1" t="n">
        <v>-0.0178</v>
      </c>
      <c r="G30" s="1" t="n">
        <v>-0.058513</v>
      </c>
      <c r="H30" s="1" t="n">
        <v>-0.062607</v>
      </c>
      <c r="J30" s="1" t="n">
        <f aca="false">C30-D30</f>
        <v>-0.0264</v>
      </c>
      <c r="K30" s="1" t="n">
        <f aca="false">G30-H30</f>
        <v>0.00409399999999999</v>
      </c>
      <c r="N30" s="2" t="s">
        <v>31</v>
      </c>
      <c r="O30" s="1" t="n">
        <f aca="false">-INTERCEPT(H2:H361,B2:B361)</f>
        <v>0.00199903888945765</v>
      </c>
    </row>
    <row r="31" customFormat="false" ht="13.8" hidden="false" customHeight="false" outlineLevel="0" collapsed="false">
      <c r="A31" s="5" t="n">
        <v>26816</v>
      </c>
      <c r="B31" s="1" t="n">
        <v>-0.0157</v>
      </c>
      <c r="C31" s="1" t="n">
        <v>-0.016</v>
      </c>
      <c r="D31" s="1" t="n">
        <v>-0.0151</v>
      </c>
      <c r="E31" s="1" t="n">
        <v>-0.037</v>
      </c>
      <c r="F31" s="1" t="n">
        <v>-0.0108</v>
      </c>
      <c r="G31" s="1" t="n">
        <v>-0.022979</v>
      </c>
      <c r="H31" s="1" t="n">
        <v>-0.034962</v>
      </c>
      <c r="J31" s="1" t="n">
        <f aca="false">C31-D31</f>
        <v>-0.0009</v>
      </c>
      <c r="K31" s="1" t="n">
        <f aca="false">G31-H31</f>
        <v>0.011983</v>
      </c>
      <c r="N31" s="9" t="s">
        <v>32</v>
      </c>
    </row>
    <row r="32" customFormat="false" ht="13.8" hidden="false" customHeight="false" outlineLevel="0" collapsed="false">
      <c r="A32" s="5" t="n">
        <v>26846</v>
      </c>
      <c r="B32" s="1" t="n">
        <v>0.0505</v>
      </c>
      <c r="C32" s="1" t="n">
        <v>0.0526</v>
      </c>
      <c r="D32" s="1" t="n">
        <v>0.0636</v>
      </c>
      <c r="E32" s="1" t="n">
        <v>0.1192</v>
      </c>
      <c r="F32" s="1" t="n">
        <v>0.0394</v>
      </c>
      <c r="G32" s="1" t="n">
        <v>0.063914</v>
      </c>
      <c r="H32" s="1" t="n">
        <v>0.1169885</v>
      </c>
      <c r="J32" s="1" t="n">
        <f aca="false">C32-D32</f>
        <v>-0.011</v>
      </c>
      <c r="K32" s="1" t="n">
        <f aca="false">G32-H32</f>
        <v>-0.0530745</v>
      </c>
      <c r="N32" s="2" t="s">
        <v>12</v>
      </c>
      <c r="O32" s="1" t="n">
        <f aca="false">INTERCEPT(G2:G361,B2:B361)</f>
        <v>0.0039800501936208</v>
      </c>
    </row>
    <row r="33" customFormat="false" ht="13.8" hidden="false" customHeight="false" outlineLevel="0" collapsed="false">
      <c r="A33" s="5" t="n">
        <v>26877</v>
      </c>
      <c r="B33" s="1" t="n">
        <v>-0.0382</v>
      </c>
      <c r="C33" s="1" t="n">
        <v>-0.0212</v>
      </c>
      <c r="D33" s="1" t="n">
        <v>-0.0397</v>
      </c>
      <c r="E33" s="1" t="n">
        <v>-0.0611</v>
      </c>
      <c r="F33" s="1" t="n">
        <v>-0.0371</v>
      </c>
      <c r="G33" s="1" t="n">
        <v>-0.0302855</v>
      </c>
      <c r="H33" s="1" t="n">
        <v>-0.0426825</v>
      </c>
      <c r="J33" s="1" t="n">
        <f aca="false">C33-D33</f>
        <v>0.0185</v>
      </c>
      <c r="K33" s="1" t="n">
        <f aca="false">G33-H33</f>
        <v>0.012397</v>
      </c>
      <c r="N33" s="2" t="s">
        <v>13</v>
      </c>
      <c r="O33" s="8" t="n">
        <f aca="false">SLOPE(G2:G361,B2:B361)</f>
        <v>0.913991011216833</v>
      </c>
    </row>
    <row r="34" customFormat="false" ht="13.8" hidden="false" customHeight="false" outlineLevel="0" collapsed="false">
      <c r="A34" s="5" t="n">
        <v>26908</v>
      </c>
      <c r="B34" s="1" t="n">
        <v>0.0475</v>
      </c>
      <c r="C34" s="1" t="n">
        <v>0.0793</v>
      </c>
      <c r="D34" s="1" t="n">
        <v>0.0203</v>
      </c>
      <c r="E34" s="1" t="n">
        <v>0.0797</v>
      </c>
      <c r="F34" s="1" t="n">
        <v>0.0374</v>
      </c>
      <c r="G34" s="1" t="n">
        <v>0.0791</v>
      </c>
      <c r="H34" s="1" t="n">
        <v>0.05901</v>
      </c>
      <c r="J34" s="1" t="n">
        <f aca="false">C34-D34</f>
        <v>0.059</v>
      </c>
      <c r="K34" s="1" t="n">
        <f aca="false">G34-H34</f>
        <v>0.02009</v>
      </c>
      <c r="N34" s="2" t="s">
        <v>14</v>
      </c>
      <c r="O34" s="8" t="n">
        <f aca="false">SQRT( STDEV(G2:G361)^2 - O33^2*STDEV(B2:B361)^2 )</f>
        <v>0.0221166680395041</v>
      </c>
    </row>
    <row r="35" customFormat="false" ht="13.8" hidden="false" customHeight="false" outlineLevel="0" collapsed="false">
      <c r="A35" s="5" t="n">
        <v>26938</v>
      </c>
      <c r="B35" s="1" t="n">
        <v>-0.0083</v>
      </c>
      <c r="C35" s="1" t="n">
        <v>-0.0007</v>
      </c>
      <c r="D35" s="1" t="n">
        <v>-0.0092</v>
      </c>
      <c r="E35" s="1" t="n">
        <v>-0.0117</v>
      </c>
      <c r="F35" s="1" t="n">
        <v>-0.0078</v>
      </c>
      <c r="G35" s="1" t="n">
        <v>0.0002405</v>
      </c>
      <c r="H35" s="1" t="n">
        <v>-0.0191715</v>
      </c>
      <c r="J35" s="1" t="n">
        <f aca="false">C35-D35</f>
        <v>0.0085</v>
      </c>
      <c r="K35" s="1" t="n">
        <f aca="false">G35-H35</f>
        <v>0.019412</v>
      </c>
      <c r="N35" s="2" t="s">
        <v>15</v>
      </c>
      <c r="O35" s="8" t="n">
        <f aca="false">O32/O34</f>
        <v>0.179957043552481</v>
      </c>
    </row>
    <row r="36" customFormat="false" ht="13.8" hidden="false" customHeight="false" outlineLevel="0" collapsed="false">
      <c r="A36" s="5" t="n">
        <v>26969</v>
      </c>
      <c r="B36" s="1" t="n">
        <v>-0.1275</v>
      </c>
      <c r="C36" s="1" t="n">
        <v>-0.1288</v>
      </c>
      <c r="D36" s="1" t="n">
        <v>-0.1362</v>
      </c>
      <c r="E36" s="1" t="n">
        <v>-0.1937</v>
      </c>
      <c r="F36" s="1" t="n">
        <v>-0.1129</v>
      </c>
      <c r="G36" s="1" t="n">
        <v>-0.1425625</v>
      </c>
      <c r="H36" s="1" t="n">
        <v>-0.181277</v>
      </c>
      <c r="J36" s="1" t="n">
        <f aca="false">C36-D36</f>
        <v>0.00739999999999999</v>
      </c>
      <c r="K36" s="1" t="n">
        <f aca="false">G36-H36</f>
        <v>0.0387145</v>
      </c>
      <c r="N36" s="2" t="s">
        <v>33</v>
      </c>
    </row>
    <row r="37" customFormat="false" ht="13.8" hidden="false" customHeight="false" outlineLevel="0" collapsed="false">
      <c r="A37" s="5" t="n">
        <v>26999</v>
      </c>
      <c r="B37" s="1" t="n">
        <v>0.0061</v>
      </c>
      <c r="C37" s="1" t="n">
        <v>0.0343</v>
      </c>
      <c r="D37" s="1" t="n">
        <v>-0.0188</v>
      </c>
      <c r="E37" s="1" t="n">
        <v>-0.0392</v>
      </c>
      <c r="F37" s="1" t="n">
        <v>0.0102</v>
      </c>
      <c r="G37" s="1" t="n">
        <v>0.014486</v>
      </c>
      <c r="H37" s="1" t="n">
        <v>-0.0239955</v>
      </c>
      <c r="J37" s="1" t="n">
        <f aca="false">C37-D37</f>
        <v>0.0531</v>
      </c>
      <c r="K37" s="1" t="n">
        <f aca="false">G37-H37</f>
        <v>0.0384815</v>
      </c>
      <c r="N37" s="2" t="s">
        <v>12</v>
      </c>
      <c r="O37" s="1" t="n">
        <f aca="false">INTERCEPT(K2:K361,B2:B361)</f>
        <v>0.00597908908307845</v>
      </c>
      <c r="P37" s="2" t="s">
        <v>34</v>
      </c>
    </row>
    <row r="38" customFormat="false" ht="13.8" hidden="false" customHeight="false" outlineLevel="0" collapsed="false">
      <c r="A38" s="5" t="n">
        <v>27030</v>
      </c>
      <c r="B38" s="1" t="n">
        <v>-0.0017</v>
      </c>
      <c r="C38" s="1" t="n">
        <v>0.0594</v>
      </c>
      <c r="D38" s="1" t="n">
        <v>-0.0125</v>
      </c>
      <c r="E38" s="1" t="n">
        <v>0.111</v>
      </c>
      <c r="F38" s="1" t="n">
        <v>-0.0164</v>
      </c>
      <c r="G38" s="1" t="n">
        <v>0.0863775</v>
      </c>
      <c r="H38" s="1" t="n">
        <v>0.026146</v>
      </c>
      <c r="J38" s="1" t="n">
        <f aca="false">C38-D38</f>
        <v>0.0719</v>
      </c>
      <c r="K38" s="1" t="n">
        <f aca="false">G38-H38</f>
        <v>0.0602315</v>
      </c>
      <c r="N38" s="2" t="s">
        <v>13</v>
      </c>
      <c r="O38" s="7" t="n">
        <f aca="false">SLOPE(K2:K361,B2:B361)</f>
        <v>-0.276587824609118</v>
      </c>
    </row>
    <row r="39" customFormat="false" ht="13.8" hidden="false" customHeight="false" outlineLevel="0" collapsed="false">
      <c r="A39" s="5" t="n">
        <v>27061</v>
      </c>
      <c r="B39" s="1" t="n">
        <v>-0.0047</v>
      </c>
      <c r="C39" s="1" t="n">
        <v>0.0196</v>
      </c>
      <c r="D39" s="1" t="n">
        <v>-0.0158</v>
      </c>
      <c r="E39" s="1" t="n">
        <v>-0.0027</v>
      </c>
      <c r="F39" s="1" t="n">
        <v>-0.0048</v>
      </c>
      <c r="G39" s="1" t="n">
        <v>0.017141</v>
      </c>
      <c r="H39" s="1" t="n">
        <v>-0.0109945</v>
      </c>
      <c r="J39" s="1" t="n">
        <f aca="false">C39-D39</f>
        <v>0.0354</v>
      </c>
      <c r="K39" s="1" t="n">
        <f aca="false">G39-H39</f>
        <v>0.0281355</v>
      </c>
      <c r="N39" s="2" t="s">
        <v>14</v>
      </c>
      <c r="O39" s="8" t="n">
        <f aca="false">SQRT( STDEV(K2:K361)^2 - O38^2*STDEV(B2:B361)^2)</f>
        <v>0.0270896648930245</v>
      </c>
    </row>
    <row r="40" customFormat="false" ht="13.8" hidden="false" customHeight="false" outlineLevel="0" collapsed="false">
      <c r="A40" s="5" t="n">
        <v>27089</v>
      </c>
      <c r="B40" s="1" t="n">
        <v>-0.0281</v>
      </c>
      <c r="C40" s="1" t="n">
        <v>-0.0296</v>
      </c>
      <c r="D40" s="1" t="n">
        <v>-0.022</v>
      </c>
      <c r="E40" s="1" t="n">
        <v>-0.0024</v>
      </c>
      <c r="F40" s="1" t="n">
        <v>-0.0301</v>
      </c>
      <c r="G40" s="1" t="n">
        <v>-0.019211</v>
      </c>
      <c r="H40" s="1" t="n">
        <v>-0.016004</v>
      </c>
      <c r="J40" s="1" t="n">
        <f aca="false">C40-D40</f>
        <v>-0.0076</v>
      </c>
      <c r="K40" s="1" t="n">
        <f aca="false">G40-H40</f>
        <v>-0.003207</v>
      </c>
      <c r="N40" s="2" t="s">
        <v>15</v>
      </c>
      <c r="O40" s="8" t="n">
        <f aca="false">O37/O39</f>
        <v>0.220714767299246</v>
      </c>
      <c r="P40" s="2" t="s">
        <v>35</v>
      </c>
    </row>
    <row r="41" customFormat="false" ht="13.8" hidden="false" customHeight="false" outlineLevel="0" collapsed="false">
      <c r="A41" s="5" t="n">
        <v>27120</v>
      </c>
      <c r="B41" s="1" t="n">
        <v>-0.0529</v>
      </c>
      <c r="C41" s="1" t="n">
        <v>-0.0493</v>
      </c>
      <c r="D41" s="1" t="n">
        <v>-0.0431</v>
      </c>
      <c r="E41" s="1" t="n">
        <v>-0.0659</v>
      </c>
      <c r="F41" s="1" t="n">
        <v>-0.0493</v>
      </c>
      <c r="G41" s="1" t="n">
        <v>-0.047369</v>
      </c>
      <c r="H41" s="1" t="n">
        <v>-0.0559165</v>
      </c>
      <c r="J41" s="1" t="n">
        <f aca="false">C41-D41</f>
        <v>-0.0062</v>
      </c>
      <c r="K41" s="1" t="n">
        <f aca="false">G41-H41</f>
        <v>0.0085475</v>
      </c>
      <c r="N41" s="2" t="s">
        <v>36</v>
      </c>
    </row>
    <row r="42" customFormat="false" ht="13.8" hidden="false" customHeight="false" outlineLevel="0" collapsed="false">
      <c r="A42" s="5" t="n">
        <v>27150</v>
      </c>
      <c r="B42" s="1" t="n">
        <v>-0.0468</v>
      </c>
      <c r="C42" s="1" t="n">
        <v>-0.0697</v>
      </c>
      <c r="D42" s="1" t="n">
        <v>-0.0287</v>
      </c>
      <c r="E42" s="1" t="n">
        <v>-0.0819</v>
      </c>
      <c r="F42" s="1" t="n">
        <v>-0.0376</v>
      </c>
      <c r="G42" s="1" t="n">
        <v>-0.0719995</v>
      </c>
      <c r="H42" s="1" t="n">
        <v>-0.051751</v>
      </c>
      <c r="J42" s="1" t="n">
        <f aca="false">C42-D42</f>
        <v>-0.041</v>
      </c>
      <c r="K42" s="1" t="n">
        <f aca="false">G42-H42</f>
        <v>-0.0202485</v>
      </c>
      <c r="N42" s="9" t="s">
        <v>37</v>
      </c>
    </row>
    <row r="43" customFormat="false" ht="13.8" hidden="false" customHeight="false" outlineLevel="0" collapsed="false">
      <c r="A43" s="5" t="n">
        <v>27181</v>
      </c>
      <c r="B43" s="1" t="n">
        <v>-0.0283</v>
      </c>
      <c r="C43" s="1" t="n">
        <v>-0.029</v>
      </c>
      <c r="D43" s="1" t="n">
        <v>-0.0273</v>
      </c>
      <c r="E43" s="1" t="n">
        <v>-0.0351</v>
      </c>
      <c r="F43" s="1" t="n">
        <v>-0.0253</v>
      </c>
      <c r="G43" s="1" t="n">
        <v>-0.0247485</v>
      </c>
      <c r="H43" s="1" t="n">
        <v>-0.0324505</v>
      </c>
      <c r="J43" s="1" t="n">
        <f aca="false">C43-D43</f>
        <v>-0.0017</v>
      </c>
      <c r="K43" s="1" t="n">
        <f aca="false">G43-H43</f>
        <v>0.007702</v>
      </c>
    </row>
    <row r="44" customFormat="false" ht="13.8" hidden="false" customHeight="false" outlineLevel="0" collapsed="false">
      <c r="A44" s="5" t="n">
        <v>27211</v>
      </c>
      <c r="B44" s="1" t="n">
        <v>-0.0805</v>
      </c>
      <c r="C44" s="1" t="n">
        <v>-0.0354</v>
      </c>
      <c r="D44" s="1" t="n">
        <v>-0.0995</v>
      </c>
      <c r="E44" s="1" t="n">
        <v>-0.061</v>
      </c>
      <c r="F44" s="1" t="n">
        <v>-0.086</v>
      </c>
      <c r="G44" s="1" t="n">
        <v>-0.035886</v>
      </c>
      <c r="H44" s="1" t="n">
        <v>-0.087512</v>
      </c>
      <c r="J44" s="1" t="n">
        <f aca="false">C44-D44</f>
        <v>0.0641</v>
      </c>
      <c r="K44" s="1" t="n">
        <f aca="false">G44-H44</f>
        <v>0.051626</v>
      </c>
    </row>
    <row r="45" customFormat="false" ht="13.8" hidden="false" customHeight="false" outlineLevel="0" collapsed="false">
      <c r="A45" s="5" t="n">
        <v>27242</v>
      </c>
      <c r="B45" s="1" t="n">
        <v>-0.0935</v>
      </c>
      <c r="C45" s="1" t="n">
        <v>-0.0779</v>
      </c>
      <c r="D45" s="1" t="n">
        <v>-0.1066</v>
      </c>
      <c r="E45" s="1" t="n">
        <v>-0.0886</v>
      </c>
      <c r="F45" s="1" t="n">
        <v>-0.0937</v>
      </c>
      <c r="G45" s="1" t="n">
        <v>-0.078357</v>
      </c>
      <c r="H45" s="1" t="n">
        <v>-0.104743</v>
      </c>
      <c r="J45" s="1" t="n">
        <f aca="false">C45-D45</f>
        <v>0.0287</v>
      </c>
      <c r="K45" s="1" t="n">
        <f aca="false">G45-H45</f>
        <v>0.026386</v>
      </c>
    </row>
    <row r="46" customFormat="false" ht="13.8" hidden="false" customHeight="false" outlineLevel="0" collapsed="false">
      <c r="A46" s="5" t="n">
        <v>27273</v>
      </c>
      <c r="B46" s="1" t="n">
        <v>-0.1177</v>
      </c>
      <c r="C46" s="1" t="n">
        <v>-0.0802</v>
      </c>
      <c r="D46" s="1" t="n">
        <v>-0.1452</v>
      </c>
      <c r="E46" s="1" t="n">
        <v>-0.0904</v>
      </c>
      <c r="F46" s="1" t="n">
        <v>-0.1234</v>
      </c>
      <c r="G46" s="1" t="n">
        <v>-0.08047</v>
      </c>
      <c r="H46" s="1" t="n">
        <v>-0.136303</v>
      </c>
      <c r="J46" s="1" t="n">
        <f aca="false">C46-D46</f>
        <v>0.065</v>
      </c>
      <c r="K46" s="1" t="n">
        <f aca="false">G46-H46</f>
        <v>0.055833</v>
      </c>
    </row>
    <row r="47" customFormat="false" ht="13.8" hidden="false" customHeight="false" outlineLevel="0" collapsed="false">
      <c r="A47" s="5" t="n">
        <v>27303</v>
      </c>
      <c r="B47" s="1" t="n">
        <v>0.161</v>
      </c>
      <c r="C47" s="1" t="n">
        <v>0.0743</v>
      </c>
      <c r="D47" s="1" t="n">
        <v>0.2046</v>
      </c>
      <c r="E47" s="1" t="n">
        <v>0.083</v>
      </c>
      <c r="F47" s="1" t="n">
        <v>0.1724</v>
      </c>
      <c r="G47" s="1" t="n">
        <v>0.074504</v>
      </c>
      <c r="H47" s="1" t="n">
        <v>0.173236</v>
      </c>
      <c r="J47" s="1" t="n">
        <f aca="false">C47-D47</f>
        <v>-0.1303</v>
      </c>
      <c r="K47" s="1" t="n">
        <f aca="false">G47-H47</f>
        <v>-0.098732</v>
      </c>
    </row>
    <row r="48" customFormat="false" ht="13.8" hidden="false" customHeight="false" outlineLevel="0" collapsed="false">
      <c r="A48" s="5" t="n">
        <v>27334</v>
      </c>
      <c r="B48" s="1" t="n">
        <v>-0.0451</v>
      </c>
      <c r="C48" s="1" t="n">
        <v>-0.05</v>
      </c>
      <c r="D48" s="1" t="n">
        <v>-0.0454</v>
      </c>
      <c r="E48" s="1" t="n">
        <v>-0.0563</v>
      </c>
      <c r="F48" s="1" t="n">
        <v>-0.0449</v>
      </c>
      <c r="G48" s="1" t="n">
        <v>-0.052995</v>
      </c>
      <c r="H48" s="1" t="n">
        <v>-0.0509605</v>
      </c>
      <c r="J48" s="1" t="n">
        <f aca="false">C48-D48</f>
        <v>-0.0046</v>
      </c>
      <c r="K48" s="1" t="n">
        <f aca="false">G48-H48</f>
        <v>-0.0020345</v>
      </c>
    </row>
    <row r="49" customFormat="false" ht="13.8" hidden="false" customHeight="false" outlineLevel="0" collapsed="false">
      <c r="A49" s="5" t="n">
        <v>27364</v>
      </c>
      <c r="B49" s="1" t="n">
        <v>-0.0345</v>
      </c>
      <c r="C49" s="1" t="n">
        <v>-0.0486</v>
      </c>
      <c r="D49" s="1" t="n">
        <v>-0.0414</v>
      </c>
      <c r="E49" s="1" t="n">
        <v>-0.0809</v>
      </c>
      <c r="F49" s="1" t="n">
        <v>-0.0281</v>
      </c>
      <c r="G49" s="1" t="n">
        <v>-0.058524</v>
      </c>
      <c r="H49" s="1" t="n">
        <v>-0.059641</v>
      </c>
      <c r="J49" s="1" t="n">
        <f aca="false">C49-D49</f>
        <v>-0.0072</v>
      </c>
      <c r="K49" s="1" t="n">
        <f aca="false">G49-H49</f>
        <v>0.001117</v>
      </c>
    </row>
    <row r="50" customFormat="false" ht="13.8" hidden="false" customHeight="false" outlineLevel="0" collapsed="false">
      <c r="A50" s="5" t="n">
        <v>27395</v>
      </c>
      <c r="B50" s="1" t="n">
        <v>0.1366</v>
      </c>
      <c r="C50" s="1" t="n">
        <v>0.2343</v>
      </c>
      <c r="D50" s="1" t="n">
        <v>0.1053</v>
      </c>
      <c r="E50" s="1" t="n">
        <v>0.2633</v>
      </c>
      <c r="F50" s="1" t="n">
        <v>0.1169</v>
      </c>
      <c r="G50" s="1" t="n">
        <v>0.254058</v>
      </c>
      <c r="H50" s="1" t="n">
        <v>0.171285</v>
      </c>
      <c r="J50" s="1" t="n">
        <f aca="false">C50-D50</f>
        <v>0.129</v>
      </c>
      <c r="K50" s="1" t="n">
        <f aca="false">G50-H50</f>
        <v>0.082773</v>
      </c>
    </row>
    <row r="51" customFormat="false" ht="13.8" hidden="false" customHeight="false" outlineLevel="0" collapsed="false">
      <c r="A51" s="5" t="n">
        <v>27426</v>
      </c>
      <c r="B51" s="1" t="n">
        <v>0.0556</v>
      </c>
      <c r="C51" s="1" t="n">
        <v>0.022</v>
      </c>
      <c r="D51" s="1" t="n">
        <v>0.0768</v>
      </c>
      <c r="E51" s="1" t="n">
        <v>0.0445</v>
      </c>
      <c r="F51" s="1" t="n">
        <v>0.0595</v>
      </c>
      <c r="G51" s="1" t="n">
        <v>0.0252165</v>
      </c>
      <c r="H51" s="1" t="n">
        <v>0.0696355</v>
      </c>
      <c r="J51" s="1" t="n">
        <f aca="false">C51-D51</f>
        <v>-0.0548</v>
      </c>
      <c r="K51" s="1" t="n">
        <f aca="false">G51-H51</f>
        <v>-0.044419</v>
      </c>
    </row>
    <row r="52" customFormat="false" ht="13.8" hidden="false" customHeight="false" outlineLevel="0" collapsed="false">
      <c r="A52" s="5" t="n">
        <v>27454</v>
      </c>
      <c r="B52" s="1" t="n">
        <v>0.0266</v>
      </c>
      <c r="C52" s="1" t="n">
        <v>0.0711</v>
      </c>
      <c r="D52" s="1" t="n">
        <v>0.0271</v>
      </c>
      <c r="E52" s="1" t="n">
        <v>0.0699</v>
      </c>
      <c r="F52" s="1" t="n">
        <v>0.0201</v>
      </c>
      <c r="G52" s="1" t="n">
        <v>0.0733575</v>
      </c>
      <c r="H52" s="1" t="n">
        <v>0.0495745</v>
      </c>
      <c r="J52" s="1" t="n">
        <f aca="false">C52-D52</f>
        <v>0.044</v>
      </c>
      <c r="K52" s="1" t="n">
        <f aca="false">G52-H52</f>
        <v>0.023783</v>
      </c>
    </row>
    <row r="53" customFormat="false" ht="13.8" hidden="false" customHeight="false" outlineLevel="0" collapsed="false">
      <c r="A53" s="5" t="n">
        <v>27485</v>
      </c>
      <c r="B53" s="1" t="n">
        <v>0.0423</v>
      </c>
      <c r="C53" s="1" t="n">
        <v>0.0525</v>
      </c>
      <c r="D53" s="1" t="n">
        <v>0.0535</v>
      </c>
      <c r="E53" s="1" t="n">
        <v>0.0312</v>
      </c>
      <c r="F53" s="1" t="n">
        <v>0.0433</v>
      </c>
      <c r="G53" s="1" t="n">
        <v>0.0454365</v>
      </c>
      <c r="H53" s="1" t="n">
        <v>0.0568125</v>
      </c>
      <c r="J53" s="1" t="n">
        <f aca="false">C53-D53</f>
        <v>-0.001</v>
      </c>
      <c r="K53" s="1" t="n">
        <f aca="false">G53-H53</f>
        <v>-0.011376</v>
      </c>
    </row>
    <row r="54" customFormat="false" ht="13.8" hidden="false" customHeight="false" outlineLevel="0" collapsed="false">
      <c r="A54" s="5" t="n">
        <v>27515</v>
      </c>
      <c r="B54" s="1" t="n">
        <v>0.0519</v>
      </c>
      <c r="C54" s="1" t="n">
        <v>0.023</v>
      </c>
      <c r="D54" s="1" t="n">
        <v>0.0544</v>
      </c>
      <c r="E54" s="1" t="n">
        <v>0.0755</v>
      </c>
      <c r="F54" s="1" t="n">
        <v>0.049</v>
      </c>
      <c r="G54" s="1" t="n">
        <v>0.034723</v>
      </c>
      <c r="H54" s="1" t="n">
        <v>0.075728</v>
      </c>
      <c r="J54" s="1" t="n">
        <f aca="false">C54-D54</f>
        <v>-0.0314</v>
      </c>
      <c r="K54" s="1" t="n">
        <f aca="false">G54-H54</f>
        <v>-0.041005</v>
      </c>
    </row>
    <row r="55" customFormat="false" ht="13.8" hidden="false" customHeight="false" outlineLevel="0" collapsed="false">
      <c r="A55" s="5" t="n">
        <v>27546</v>
      </c>
      <c r="B55" s="1" t="n">
        <v>0.0483</v>
      </c>
      <c r="C55" s="1" t="n">
        <v>0.0683</v>
      </c>
      <c r="D55" s="1" t="n">
        <v>0.0396</v>
      </c>
      <c r="E55" s="1" t="n">
        <v>0.0668</v>
      </c>
      <c r="F55" s="1" t="n">
        <v>0.0456</v>
      </c>
      <c r="G55" s="1" t="n">
        <v>0.0660635</v>
      </c>
      <c r="H55" s="1" t="n">
        <v>0.0522655</v>
      </c>
      <c r="J55" s="1" t="n">
        <f aca="false">C55-D55</f>
        <v>0.0287</v>
      </c>
      <c r="K55" s="1" t="n">
        <f aca="false">G55-H55</f>
        <v>0.013798</v>
      </c>
    </row>
    <row r="56" customFormat="false" ht="13.8" hidden="false" customHeight="false" outlineLevel="0" collapsed="false">
      <c r="A56" s="5" t="n">
        <v>27576</v>
      </c>
      <c r="B56" s="1" t="n">
        <v>-0.0659</v>
      </c>
      <c r="C56" s="1" t="n">
        <v>-0.0416</v>
      </c>
      <c r="D56" s="1" t="n">
        <v>-0.0779</v>
      </c>
      <c r="E56" s="1" t="n">
        <v>-0.0184</v>
      </c>
      <c r="F56" s="1" t="n">
        <v>-0.072</v>
      </c>
      <c r="G56" s="1" t="n">
        <v>-0.04026</v>
      </c>
      <c r="H56" s="1" t="n">
        <v>-0.057186</v>
      </c>
      <c r="J56" s="1" t="n">
        <f aca="false">C56-D56</f>
        <v>0.0363</v>
      </c>
      <c r="K56" s="1" t="n">
        <f aca="false">G56-H56</f>
        <v>0.016926</v>
      </c>
    </row>
    <row r="57" customFormat="false" ht="13.8" hidden="false" customHeight="false" outlineLevel="0" collapsed="false">
      <c r="A57" s="5" t="n">
        <v>27607</v>
      </c>
      <c r="B57" s="1" t="n">
        <v>-0.0285</v>
      </c>
      <c r="C57" s="1" t="n">
        <v>-0.0454</v>
      </c>
      <c r="D57" s="1" t="n">
        <v>-0.0277</v>
      </c>
      <c r="E57" s="1" t="n">
        <v>-0.063</v>
      </c>
      <c r="F57" s="1" t="n">
        <v>-0.0238</v>
      </c>
      <c r="G57" s="1" t="n">
        <v>-0.048436</v>
      </c>
      <c r="H57" s="1" t="n">
        <v>-0.0389595</v>
      </c>
      <c r="J57" s="1" t="n">
        <f aca="false">C57-D57</f>
        <v>-0.0177</v>
      </c>
      <c r="K57" s="1" t="n">
        <f aca="false">G57-H57</f>
        <v>-0.0094765</v>
      </c>
    </row>
    <row r="58" customFormat="false" ht="13.8" hidden="false" customHeight="false" outlineLevel="0" collapsed="false">
      <c r="A58" s="5" t="n">
        <v>27638</v>
      </c>
      <c r="B58" s="1" t="n">
        <v>-0.0426</v>
      </c>
      <c r="C58" s="1" t="n">
        <v>-0.0417</v>
      </c>
      <c r="D58" s="1" t="n">
        <v>-0.0452</v>
      </c>
      <c r="E58" s="1" t="n">
        <v>-0.0392</v>
      </c>
      <c r="F58" s="1" t="n">
        <v>-0.0424</v>
      </c>
      <c r="G58" s="1" t="n">
        <v>-0.041393</v>
      </c>
      <c r="H58" s="1" t="n">
        <v>-0.0453165</v>
      </c>
      <c r="J58" s="1" t="n">
        <f aca="false">C58-D58</f>
        <v>0.0035</v>
      </c>
      <c r="K58" s="1" t="n">
        <f aca="false">G58-H58</f>
        <v>0.0039235</v>
      </c>
    </row>
    <row r="59" customFormat="false" ht="13.8" hidden="false" customHeight="false" outlineLevel="0" collapsed="false">
      <c r="A59" s="5" t="n">
        <v>27668</v>
      </c>
      <c r="B59" s="1" t="n">
        <v>0.0531</v>
      </c>
      <c r="C59" s="1" t="n">
        <v>0.0402</v>
      </c>
      <c r="D59" s="1" t="n">
        <v>0.0578</v>
      </c>
      <c r="E59" s="1" t="n">
        <v>0.0119</v>
      </c>
      <c r="F59" s="1" t="n">
        <v>0.0591</v>
      </c>
      <c r="G59" s="1" t="n">
        <v>0.036725</v>
      </c>
      <c r="H59" s="1" t="n">
        <v>0.0338815</v>
      </c>
      <c r="J59" s="1" t="n">
        <f aca="false">C59-D59</f>
        <v>-0.0176</v>
      </c>
      <c r="K59" s="1" t="n">
        <f aca="false">G59-H59</f>
        <v>0.0028435</v>
      </c>
    </row>
    <row r="60" customFormat="false" ht="13.8" hidden="false" customHeight="false" outlineLevel="0" collapsed="false">
      <c r="A60" s="5" t="n">
        <v>27699</v>
      </c>
      <c r="B60" s="1" t="n">
        <v>0.0264</v>
      </c>
      <c r="C60" s="1" t="n">
        <v>0.0379</v>
      </c>
      <c r="D60" s="1" t="n">
        <v>0.0252</v>
      </c>
      <c r="E60" s="1" t="n">
        <v>0.0179</v>
      </c>
      <c r="F60" s="1" t="n">
        <v>0.0274</v>
      </c>
      <c r="G60" s="1" t="n">
        <v>0.037324</v>
      </c>
      <c r="H60" s="1" t="n">
        <v>0.0170015</v>
      </c>
      <c r="J60" s="1" t="n">
        <f aca="false">C60-D60</f>
        <v>0.0127</v>
      </c>
      <c r="K60" s="1" t="n">
        <f aca="false">G60-H60</f>
        <v>0.0203225</v>
      </c>
    </row>
    <row r="61" customFormat="false" ht="13.8" hidden="false" customHeight="false" outlineLevel="0" collapsed="false">
      <c r="A61" s="5" t="n">
        <v>27729</v>
      </c>
      <c r="B61" s="1" t="n">
        <v>-0.016</v>
      </c>
      <c r="C61" s="1" t="n">
        <v>-0.0026</v>
      </c>
      <c r="D61" s="1" t="n">
        <v>-0.0225</v>
      </c>
      <c r="E61" s="1" t="n">
        <v>-0.0157</v>
      </c>
      <c r="F61" s="1" t="n">
        <v>-0.0174</v>
      </c>
      <c r="G61" s="1" t="n">
        <v>-0.004256</v>
      </c>
      <c r="H61" s="1" t="n">
        <v>-0.0211835</v>
      </c>
      <c r="J61" s="1" t="n">
        <f aca="false">C61-D61</f>
        <v>0.0199</v>
      </c>
      <c r="K61" s="1" t="n">
        <f aca="false">G61-H61</f>
        <v>0.0169275</v>
      </c>
    </row>
    <row r="62" customFormat="false" ht="13.8" hidden="false" customHeight="false" outlineLevel="0" collapsed="false">
      <c r="A62" s="5" t="n">
        <v>27760</v>
      </c>
      <c r="B62" s="1" t="n">
        <v>0.1216</v>
      </c>
      <c r="C62" s="1" t="n">
        <v>0.2045</v>
      </c>
      <c r="D62" s="1" t="n">
        <v>0.1056</v>
      </c>
      <c r="E62" s="1" t="n">
        <v>0.1881</v>
      </c>
      <c r="F62" s="1" t="n">
        <v>0.1121</v>
      </c>
      <c r="G62" s="1" t="n">
        <v>0.2106075</v>
      </c>
      <c r="H62" s="1" t="n">
        <v>0.124341</v>
      </c>
      <c r="J62" s="1" t="n">
        <f aca="false">C62-D62</f>
        <v>0.0989</v>
      </c>
      <c r="K62" s="1" t="n">
        <f aca="false">G62-H62</f>
        <v>0.0862665</v>
      </c>
    </row>
    <row r="63" customFormat="false" ht="13.8" hidden="false" customHeight="false" outlineLevel="0" collapsed="false">
      <c r="A63" s="5" t="n">
        <v>27791</v>
      </c>
      <c r="B63" s="1" t="n">
        <v>0.0032</v>
      </c>
      <c r="C63" s="1" t="n">
        <v>0.0757</v>
      </c>
      <c r="D63" s="1" t="n">
        <v>-0.0136</v>
      </c>
      <c r="E63" s="1" t="n">
        <v>0.1019</v>
      </c>
      <c r="F63" s="1" t="n">
        <v>-0.0108</v>
      </c>
      <c r="G63" s="1" t="n">
        <v>0.0819755</v>
      </c>
      <c r="H63" s="1" t="n">
        <v>0.023263</v>
      </c>
      <c r="J63" s="1" t="n">
        <f aca="false">C63-D63</f>
        <v>0.0893</v>
      </c>
      <c r="K63" s="1" t="n">
        <f aca="false">G63-H63</f>
        <v>0.0587125</v>
      </c>
    </row>
    <row r="64" customFormat="false" ht="13.8" hidden="false" customHeight="false" outlineLevel="0" collapsed="false">
      <c r="A64" s="5" t="n">
        <v>27820</v>
      </c>
      <c r="B64" s="1" t="n">
        <v>0.0232</v>
      </c>
      <c r="C64" s="1" t="n">
        <v>0.0165</v>
      </c>
      <c r="D64" s="1" t="n">
        <v>0.0251</v>
      </c>
      <c r="E64" s="1" t="n">
        <v>0.0106</v>
      </c>
      <c r="F64" s="1" t="n">
        <v>0.026</v>
      </c>
      <c r="G64" s="1" t="n">
        <v>0.0163175</v>
      </c>
      <c r="H64" s="1" t="n">
        <v>0.0175355</v>
      </c>
      <c r="J64" s="1" t="n">
        <f aca="false">C64-D64</f>
        <v>-0.0086</v>
      </c>
      <c r="K64" s="1" t="n">
        <f aca="false">G64-H64</f>
        <v>-0.001218</v>
      </c>
    </row>
    <row r="65" customFormat="false" ht="13.8" hidden="false" customHeight="false" outlineLevel="0" collapsed="false">
      <c r="A65" s="5" t="n">
        <v>27851</v>
      </c>
      <c r="B65" s="1" t="n">
        <v>-0.0149</v>
      </c>
      <c r="C65" s="1" t="n">
        <v>-0.0192</v>
      </c>
      <c r="D65" s="1" t="n">
        <v>-0.0202</v>
      </c>
      <c r="E65" s="1" t="n">
        <v>-0.0168</v>
      </c>
      <c r="F65" s="1" t="n">
        <v>-0.0149</v>
      </c>
      <c r="G65" s="1" t="n">
        <v>-0.0189655</v>
      </c>
      <c r="H65" s="1" t="n">
        <v>-0.017341</v>
      </c>
      <c r="J65" s="1" t="n">
        <f aca="false">C65-D65</f>
        <v>0.001</v>
      </c>
      <c r="K65" s="1" t="n">
        <f aca="false">G65-H65</f>
        <v>-0.0016245</v>
      </c>
    </row>
    <row r="66" customFormat="false" ht="13.8" hidden="false" customHeight="false" outlineLevel="0" collapsed="false">
      <c r="A66" s="5" t="n">
        <v>27881</v>
      </c>
      <c r="B66" s="1" t="n">
        <v>-0.0134</v>
      </c>
      <c r="C66" s="1" t="n">
        <v>-0.0225</v>
      </c>
      <c r="D66" s="1" t="n">
        <v>-0.0101</v>
      </c>
      <c r="E66" s="1" t="n">
        <v>-0.0268</v>
      </c>
      <c r="F66" s="1" t="n">
        <v>-0.0117</v>
      </c>
      <c r="G66" s="1" t="n">
        <v>-0.02457</v>
      </c>
      <c r="H66" s="1" t="n">
        <v>-0.0109335</v>
      </c>
      <c r="J66" s="1" t="n">
        <f aca="false">C66-D66</f>
        <v>-0.0124</v>
      </c>
      <c r="K66" s="1" t="n">
        <f aca="false">G66-H66</f>
        <v>-0.0136365</v>
      </c>
    </row>
    <row r="67" customFormat="false" ht="13.8" hidden="false" customHeight="false" outlineLevel="0" collapsed="false">
      <c r="A67" s="5" t="n">
        <v>27912</v>
      </c>
      <c r="B67" s="1" t="n">
        <v>0.0405</v>
      </c>
      <c r="C67" s="1" t="n">
        <v>0.046</v>
      </c>
      <c r="D67" s="1" t="n">
        <v>0.0393</v>
      </c>
      <c r="E67" s="1" t="n">
        <v>0.0212</v>
      </c>
      <c r="F67" s="1" t="n">
        <v>0.0411</v>
      </c>
      <c r="G67" s="1" t="n">
        <v>0.044377</v>
      </c>
      <c r="H67" s="1" t="n">
        <v>0.037295</v>
      </c>
      <c r="J67" s="1" t="n">
        <f aca="false">C67-D67</f>
        <v>0.0067</v>
      </c>
      <c r="K67" s="1" t="n">
        <f aca="false">G67-H67</f>
        <v>0.007082</v>
      </c>
    </row>
    <row r="68" customFormat="false" ht="13.8" hidden="false" customHeight="false" outlineLevel="0" collapsed="false">
      <c r="A68" s="5" t="n">
        <v>27942</v>
      </c>
      <c r="B68" s="1" t="n">
        <v>-0.0107</v>
      </c>
      <c r="C68" s="1" t="n">
        <v>0.0004</v>
      </c>
      <c r="D68" s="1" t="n">
        <v>-0.017</v>
      </c>
      <c r="E68" s="1" t="n">
        <v>-0.0028</v>
      </c>
      <c r="F68" s="1" t="n">
        <v>-0.0122</v>
      </c>
      <c r="G68" s="1" t="n">
        <v>0.000823999999999999</v>
      </c>
      <c r="H68" s="1" t="n">
        <v>-0.016512</v>
      </c>
      <c r="J68" s="1" t="n">
        <f aca="false">C68-D68</f>
        <v>0.0174</v>
      </c>
      <c r="K68" s="1" t="n">
        <f aca="false">G68-H68</f>
        <v>0.017336</v>
      </c>
    </row>
    <row r="69" customFormat="false" ht="13.8" hidden="false" customHeight="false" outlineLevel="0" collapsed="false">
      <c r="A69" s="5" t="n">
        <v>27973</v>
      </c>
      <c r="B69" s="1" t="n">
        <v>-0.0056</v>
      </c>
      <c r="C69" s="1" t="n">
        <v>-0.0148</v>
      </c>
      <c r="D69" s="1" t="n">
        <v>-0.0092</v>
      </c>
      <c r="E69" s="1" t="n">
        <v>-0.0226</v>
      </c>
      <c r="F69" s="1" t="n">
        <v>-0.0025</v>
      </c>
      <c r="G69" s="1" t="n">
        <v>-0.0153925</v>
      </c>
      <c r="H69" s="1" t="n">
        <v>-0.023451</v>
      </c>
      <c r="J69" s="1" t="n">
        <f aca="false">C69-D69</f>
        <v>-0.0056</v>
      </c>
      <c r="K69" s="1" t="n">
        <f aca="false">G69-H69</f>
        <v>0.0080585</v>
      </c>
    </row>
    <row r="70" customFormat="false" ht="13.8" hidden="false" customHeight="false" outlineLevel="0" collapsed="false">
      <c r="A70" s="5" t="n">
        <v>28004</v>
      </c>
      <c r="B70" s="1" t="n">
        <v>0.0207</v>
      </c>
      <c r="C70" s="1" t="n">
        <v>0.0223</v>
      </c>
      <c r="D70" s="1" t="n">
        <v>0.0182</v>
      </c>
      <c r="E70" s="1" t="n">
        <v>0.0158</v>
      </c>
      <c r="F70" s="1" t="n">
        <v>0.0204</v>
      </c>
      <c r="G70" s="1" t="n">
        <v>0.021346</v>
      </c>
      <c r="H70" s="1" t="n">
        <v>0.0242755</v>
      </c>
      <c r="J70" s="1" t="n">
        <f aca="false">C70-D70</f>
        <v>0.0041</v>
      </c>
      <c r="K70" s="1" t="n">
        <f aca="false">G70-H70</f>
        <v>-0.0029295</v>
      </c>
    </row>
    <row r="71" customFormat="false" ht="13.8" hidden="false" customHeight="false" outlineLevel="0" collapsed="false">
      <c r="A71" s="5" t="n">
        <v>28034</v>
      </c>
      <c r="B71" s="1" t="n">
        <v>-0.0242</v>
      </c>
      <c r="C71" s="1" t="n">
        <v>-0.0331</v>
      </c>
      <c r="D71" s="1" t="n">
        <v>-0.0279</v>
      </c>
      <c r="E71" s="1" t="n">
        <v>-0.0236</v>
      </c>
      <c r="F71" s="1" t="n">
        <v>-0.0242</v>
      </c>
      <c r="G71" s="1" t="n">
        <v>-0.0312095</v>
      </c>
      <c r="H71" s="1" t="n">
        <v>-0.0293695</v>
      </c>
      <c r="J71" s="1" t="n">
        <f aca="false">C71-D71</f>
        <v>-0.0052</v>
      </c>
      <c r="K71" s="1" t="n">
        <f aca="false">G71-H71</f>
        <v>-0.00184</v>
      </c>
    </row>
    <row r="72" customFormat="false" ht="13.8" hidden="false" customHeight="false" outlineLevel="0" collapsed="false">
      <c r="A72" s="5" t="n">
        <v>28065</v>
      </c>
      <c r="B72" s="1" t="n">
        <v>0.0036</v>
      </c>
      <c r="C72" s="1" t="n">
        <v>0.0232</v>
      </c>
      <c r="D72" s="1" t="n">
        <v>-0.009</v>
      </c>
      <c r="E72" s="1" t="n">
        <v>0.0297</v>
      </c>
      <c r="F72" s="1" t="n">
        <v>-0.0028</v>
      </c>
      <c r="G72" s="1" t="n">
        <v>0.025949</v>
      </c>
      <c r="H72" s="1" t="n">
        <v>0.01084</v>
      </c>
      <c r="J72" s="1" t="n">
        <f aca="false">C72-D72</f>
        <v>0.0322</v>
      </c>
      <c r="K72" s="1" t="n">
        <f aca="false">G72-H72</f>
        <v>0.015109</v>
      </c>
    </row>
    <row r="73" customFormat="false" ht="13.8" hidden="false" customHeight="false" outlineLevel="0" collapsed="false">
      <c r="A73" s="5" t="n">
        <v>28095</v>
      </c>
      <c r="B73" s="1" t="n">
        <v>0.0565</v>
      </c>
      <c r="C73" s="1" t="n">
        <v>0.0885</v>
      </c>
      <c r="D73" s="1" t="n">
        <v>0.0454</v>
      </c>
      <c r="E73" s="1" t="n">
        <v>0.0963</v>
      </c>
      <c r="F73" s="1" t="n">
        <v>0.0499</v>
      </c>
      <c r="G73" s="1" t="n">
        <v>0.0903885</v>
      </c>
      <c r="H73" s="1" t="n">
        <v>0.0676575</v>
      </c>
      <c r="J73" s="1" t="n">
        <f aca="false">C73-D73</f>
        <v>0.0431</v>
      </c>
      <c r="K73" s="1" t="n">
        <f aca="false">G73-H73</f>
        <v>0.022731</v>
      </c>
    </row>
    <row r="74" customFormat="false" ht="13.8" hidden="false" customHeight="false" outlineLevel="0" collapsed="false">
      <c r="A74" s="5" t="n">
        <v>28126</v>
      </c>
      <c r="B74" s="1" t="n">
        <v>-0.0405</v>
      </c>
      <c r="C74" s="1" t="n">
        <v>0.0064</v>
      </c>
      <c r="D74" s="1" t="n">
        <v>-0.0642</v>
      </c>
      <c r="E74" s="1" t="n">
        <v>0.0338</v>
      </c>
      <c r="F74" s="1" t="n">
        <v>-0.0512</v>
      </c>
      <c r="G74" s="1" t="n">
        <v>0.010818</v>
      </c>
      <c r="H74" s="1" t="n">
        <v>-0.0319065</v>
      </c>
      <c r="J74" s="1" t="n">
        <f aca="false">C74-D74</f>
        <v>0.0706</v>
      </c>
      <c r="K74" s="1" t="n">
        <f aca="false">G74-H74</f>
        <v>0.0427245</v>
      </c>
    </row>
    <row r="75" customFormat="false" ht="13.8" hidden="false" customHeight="false" outlineLevel="0" collapsed="false">
      <c r="A75" s="5" t="n">
        <v>28157</v>
      </c>
      <c r="B75" s="1" t="n">
        <v>-0.0194</v>
      </c>
      <c r="C75" s="1" t="n">
        <v>-0.0155</v>
      </c>
      <c r="D75" s="1" t="n">
        <v>-0.0213</v>
      </c>
      <c r="E75" s="1" t="n">
        <v>-0.0054</v>
      </c>
      <c r="F75" s="1" t="n">
        <v>-0.02</v>
      </c>
      <c r="G75" s="1" t="n">
        <v>-0.0130745</v>
      </c>
      <c r="H75" s="1" t="n">
        <v>-0.0177355</v>
      </c>
      <c r="J75" s="1" t="n">
        <f aca="false">C75-D75</f>
        <v>0.0058</v>
      </c>
      <c r="K75" s="1" t="n">
        <f aca="false">G75-H75</f>
        <v>0.004661</v>
      </c>
    </row>
    <row r="76" customFormat="false" ht="13.8" hidden="false" customHeight="false" outlineLevel="0" collapsed="false">
      <c r="A76" s="5" t="n">
        <v>28185</v>
      </c>
      <c r="B76" s="1" t="n">
        <v>-0.0137</v>
      </c>
      <c r="C76" s="1" t="n">
        <v>0.0002</v>
      </c>
      <c r="D76" s="1" t="n">
        <v>-0.0199</v>
      </c>
      <c r="E76" s="1" t="n">
        <v>0.0023</v>
      </c>
      <c r="F76" s="1" t="n">
        <v>-0.0173</v>
      </c>
      <c r="G76" s="1" t="n">
        <v>-0.000156</v>
      </c>
      <c r="H76" s="1" t="n">
        <v>-0.0110115</v>
      </c>
      <c r="J76" s="1" t="n">
        <f aca="false">C76-D76</f>
        <v>0.0201</v>
      </c>
      <c r="K76" s="1" t="n">
        <f aca="false">G76-H76</f>
        <v>0.0108555</v>
      </c>
    </row>
    <row r="77" customFormat="false" ht="13.8" hidden="false" customHeight="false" outlineLevel="0" collapsed="false">
      <c r="A77" s="5" t="n">
        <v>28216</v>
      </c>
      <c r="B77" s="1" t="n">
        <v>0.0015</v>
      </c>
      <c r="C77" s="1" t="n">
        <v>0.0323</v>
      </c>
      <c r="D77" s="1" t="n">
        <v>-0.0139</v>
      </c>
      <c r="E77" s="1" t="n">
        <v>0.0161</v>
      </c>
      <c r="F77" s="1" t="n">
        <v>-0.0022</v>
      </c>
      <c r="G77" s="1" t="n">
        <v>0.0300595</v>
      </c>
      <c r="H77" s="1" t="n">
        <v>-0.0037035</v>
      </c>
      <c r="J77" s="1" t="n">
        <f aca="false">C77-D77</f>
        <v>0.0462</v>
      </c>
      <c r="K77" s="1" t="n">
        <f aca="false">G77-H77</f>
        <v>0.033763</v>
      </c>
    </row>
    <row r="78" customFormat="false" ht="13.8" hidden="false" customHeight="false" outlineLevel="0" collapsed="false">
      <c r="A78" s="5" t="n">
        <v>28246</v>
      </c>
      <c r="B78" s="1" t="n">
        <v>-0.0145</v>
      </c>
      <c r="C78" s="1" t="n">
        <v>-0.0112</v>
      </c>
      <c r="D78" s="1" t="n">
        <v>-0.0223</v>
      </c>
      <c r="E78" s="1" t="n">
        <v>-0.0021</v>
      </c>
      <c r="F78" s="1" t="n">
        <v>-0.0173</v>
      </c>
      <c r="G78" s="1" t="n">
        <v>-0.0084065</v>
      </c>
      <c r="H78" s="1" t="n">
        <v>-0.0169165</v>
      </c>
      <c r="J78" s="1" t="n">
        <f aca="false">C78-D78</f>
        <v>0.0111</v>
      </c>
      <c r="K78" s="1" t="n">
        <f aca="false">G78-H78</f>
        <v>0.00851</v>
      </c>
    </row>
    <row r="79" customFormat="false" ht="13.8" hidden="false" customHeight="false" outlineLevel="0" collapsed="false">
      <c r="A79" s="5" t="n">
        <v>28277</v>
      </c>
      <c r="B79" s="1" t="n">
        <v>0.0471</v>
      </c>
      <c r="C79" s="1" t="n">
        <v>0.052</v>
      </c>
      <c r="D79" s="1" t="n">
        <v>0.0536</v>
      </c>
      <c r="E79" s="1" t="n">
        <v>0.0564</v>
      </c>
      <c r="F79" s="1" t="n">
        <v>0.0449</v>
      </c>
      <c r="G79" s="1" t="n">
        <v>0.054393</v>
      </c>
      <c r="H79" s="1" t="n">
        <v>0.061787</v>
      </c>
      <c r="J79" s="1" t="n">
        <f aca="false">C79-D79</f>
        <v>-0.0016</v>
      </c>
      <c r="K79" s="1" t="n">
        <f aca="false">G79-H79</f>
        <v>-0.007394</v>
      </c>
    </row>
    <row r="80" customFormat="false" ht="13.8" hidden="false" customHeight="false" outlineLevel="0" collapsed="false">
      <c r="A80" s="5" t="n">
        <v>28307</v>
      </c>
      <c r="B80" s="1" t="n">
        <v>-0.0169</v>
      </c>
      <c r="C80" s="1" t="n">
        <v>-0.0239</v>
      </c>
      <c r="D80" s="1" t="n">
        <v>-0.0188</v>
      </c>
      <c r="E80" s="1" t="n">
        <v>0.006</v>
      </c>
      <c r="F80" s="1" t="n">
        <v>-0.0197</v>
      </c>
      <c r="G80" s="1" t="n">
        <v>-0.0171425</v>
      </c>
      <c r="H80" s="1" t="n">
        <v>-0.0115705</v>
      </c>
      <c r="J80" s="1" t="n">
        <f aca="false">C80-D80</f>
        <v>-0.0051</v>
      </c>
      <c r="K80" s="1" t="n">
        <f aca="false">G80-H80</f>
        <v>-0.005572</v>
      </c>
    </row>
    <row r="81" customFormat="false" ht="13.8" hidden="false" customHeight="false" outlineLevel="0" collapsed="false">
      <c r="A81" s="5" t="n">
        <v>28338</v>
      </c>
      <c r="B81" s="1" t="n">
        <v>-0.0175</v>
      </c>
      <c r="C81" s="1" t="n">
        <v>-0.0292</v>
      </c>
      <c r="D81" s="1" t="n">
        <v>-0.0016</v>
      </c>
      <c r="E81" s="1" t="n">
        <v>-0.0086</v>
      </c>
      <c r="F81" s="1" t="n">
        <v>-0.0187</v>
      </c>
      <c r="G81" s="1" t="n">
        <v>-0.026675</v>
      </c>
      <c r="H81" s="1" t="n">
        <v>0.000302499999999999</v>
      </c>
      <c r="J81" s="1" t="n">
        <f aca="false">C81-D81</f>
        <v>-0.0276</v>
      </c>
      <c r="K81" s="1" t="n">
        <f aca="false">G81-H81</f>
        <v>-0.0269775</v>
      </c>
    </row>
    <row r="82" customFormat="false" ht="13.8" hidden="false" customHeight="false" outlineLevel="0" collapsed="false">
      <c r="A82" s="5" t="n">
        <v>28369</v>
      </c>
      <c r="B82" s="1" t="n">
        <v>-0.0027</v>
      </c>
      <c r="C82" s="1" t="n">
        <v>-0.0071</v>
      </c>
      <c r="D82" s="1" t="n">
        <v>-0.0099</v>
      </c>
      <c r="E82" s="1" t="n">
        <v>0.0096</v>
      </c>
      <c r="F82" s="1" t="n">
        <v>-0.0047</v>
      </c>
      <c r="G82" s="1" t="n">
        <v>-0.0049855</v>
      </c>
      <c r="H82" s="1" t="n">
        <v>0.000223000000000001</v>
      </c>
      <c r="J82" s="1" t="n">
        <f aca="false">C82-D82</f>
        <v>0.0028</v>
      </c>
      <c r="K82" s="1" t="n">
        <f aca="false">G82-H82</f>
        <v>-0.0052085</v>
      </c>
    </row>
    <row r="83" customFormat="false" ht="13.8" hidden="false" customHeight="false" outlineLevel="0" collapsed="false">
      <c r="A83" s="5" t="n">
        <v>28399</v>
      </c>
      <c r="B83" s="1" t="n">
        <v>-0.0438</v>
      </c>
      <c r="C83" s="1" t="n">
        <v>-0.0314</v>
      </c>
      <c r="D83" s="1" t="n">
        <v>-0.0488</v>
      </c>
      <c r="E83" s="1" t="n">
        <v>-0.029</v>
      </c>
      <c r="F83" s="1" t="n">
        <v>-0.0473</v>
      </c>
      <c r="G83" s="1" t="n">
        <v>-0.028704</v>
      </c>
      <c r="H83" s="1" t="n">
        <v>-0.0462065</v>
      </c>
      <c r="J83" s="1" t="n">
        <f aca="false">C83-D83</f>
        <v>0.0174</v>
      </c>
      <c r="K83" s="1" t="n">
        <f aca="false">G83-H83</f>
        <v>0.0175025</v>
      </c>
    </row>
    <row r="84" customFormat="false" ht="13.8" hidden="false" customHeight="false" outlineLevel="0" collapsed="false">
      <c r="A84" s="5" t="n">
        <v>28430</v>
      </c>
      <c r="B84" s="1" t="n">
        <v>0.04</v>
      </c>
      <c r="C84" s="1" t="n">
        <v>0.0543</v>
      </c>
      <c r="D84" s="1" t="n">
        <v>0.0386</v>
      </c>
      <c r="E84" s="1" t="n">
        <v>0.077</v>
      </c>
      <c r="F84" s="1" t="n">
        <v>0.0326</v>
      </c>
      <c r="G84" s="1" t="n">
        <v>0.059777</v>
      </c>
      <c r="H84" s="1" t="n">
        <v>0.0571535</v>
      </c>
      <c r="J84" s="1" t="n">
        <f aca="false">C84-D84</f>
        <v>0.0157</v>
      </c>
      <c r="K84" s="1" t="n">
        <f aca="false">G84-H84</f>
        <v>0.00262349999999999</v>
      </c>
    </row>
    <row r="85" customFormat="false" ht="13.8" hidden="false" customHeight="false" outlineLevel="0" collapsed="false">
      <c r="A85" s="5" t="n">
        <v>28460</v>
      </c>
      <c r="B85" s="1" t="n">
        <v>0.0027</v>
      </c>
      <c r="C85" s="1" t="n">
        <v>0.008</v>
      </c>
      <c r="D85" s="1" t="n">
        <v>-0.0012</v>
      </c>
      <c r="E85" s="1" t="n">
        <v>0.0205</v>
      </c>
      <c r="F85" s="1" t="n">
        <v>-0.0001</v>
      </c>
      <c r="G85" s="1" t="n">
        <v>0.00872</v>
      </c>
      <c r="H85" s="1" t="n">
        <v>0.0115715</v>
      </c>
      <c r="J85" s="1" t="n">
        <f aca="false">C85-D85</f>
        <v>0.0092</v>
      </c>
      <c r="K85" s="1" t="n">
        <f aca="false">G85-H85</f>
        <v>-0.0028515</v>
      </c>
    </row>
    <row r="86" customFormat="false" ht="13.8" hidden="false" customHeight="false" outlineLevel="0" collapsed="false">
      <c r="A86" s="5" t="n">
        <v>28491</v>
      </c>
      <c r="B86" s="1" t="n">
        <v>-0.0601</v>
      </c>
      <c r="C86" s="1" t="n">
        <v>-0.0304</v>
      </c>
      <c r="D86" s="1" t="n">
        <v>-0.0681</v>
      </c>
      <c r="E86" s="1" t="n">
        <v>-0.0192</v>
      </c>
      <c r="F86" s="1" t="n">
        <v>-0.0652</v>
      </c>
      <c r="G86" s="1" t="n">
        <v>-0.0269545</v>
      </c>
      <c r="H86" s="1" t="n">
        <v>-0.060522</v>
      </c>
      <c r="J86" s="1" t="n">
        <f aca="false">C86-D86</f>
        <v>0.0377</v>
      </c>
      <c r="K86" s="1" t="n">
        <f aca="false">G86-H86</f>
        <v>0.0335675</v>
      </c>
    </row>
    <row r="87" customFormat="false" ht="13.8" hidden="false" customHeight="false" outlineLevel="0" collapsed="false">
      <c r="A87" s="5" t="n">
        <v>28522</v>
      </c>
      <c r="B87" s="1" t="n">
        <v>-0.0138</v>
      </c>
      <c r="C87" s="1" t="n">
        <v>-0.008</v>
      </c>
      <c r="D87" s="1" t="n">
        <v>-0.0279</v>
      </c>
      <c r="E87" s="1" t="n">
        <v>0.023</v>
      </c>
      <c r="F87" s="1" t="n">
        <v>-0.0212</v>
      </c>
      <c r="G87" s="1" t="n">
        <v>-0.001254</v>
      </c>
      <c r="H87" s="1" t="n">
        <v>-0.009593</v>
      </c>
      <c r="J87" s="1" t="n">
        <f aca="false">C87-D87</f>
        <v>0.0199</v>
      </c>
      <c r="K87" s="1" t="n">
        <f aca="false">G87-H87</f>
        <v>0.008339</v>
      </c>
    </row>
    <row r="88" customFormat="false" ht="13.8" hidden="false" customHeight="false" outlineLevel="0" collapsed="false">
      <c r="A88" s="5" t="n">
        <v>28550</v>
      </c>
      <c r="B88" s="1" t="n">
        <v>0.0285</v>
      </c>
      <c r="C88" s="1" t="n">
        <v>0.0451</v>
      </c>
      <c r="D88" s="1" t="n">
        <v>0.0201</v>
      </c>
      <c r="E88" s="1" t="n">
        <v>0.0672</v>
      </c>
      <c r="F88" s="1" t="n">
        <v>0.0208</v>
      </c>
      <c r="G88" s="1" t="n">
        <v>0.049907</v>
      </c>
      <c r="H88" s="1" t="n">
        <v>0.0381235</v>
      </c>
      <c r="J88" s="1" t="n">
        <f aca="false">C88-D88</f>
        <v>0.025</v>
      </c>
      <c r="K88" s="1" t="n">
        <f aca="false">G88-H88</f>
        <v>0.0117835</v>
      </c>
    </row>
    <row r="89" customFormat="false" ht="13.8" hidden="false" customHeight="false" outlineLevel="0" collapsed="false">
      <c r="A89" s="5" t="n">
        <v>28581</v>
      </c>
      <c r="B89" s="1" t="n">
        <v>0.0788</v>
      </c>
      <c r="C89" s="1" t="n">
        <v>0.0638</v>
      </c>
      <c r="D89" s="1" t="n">
        <v>0.1046</v>
      </c>
      <c r="E89" s="1" t="n">
        <v>0.0771</v>
      </c>
      <c r="F89" s="1" t="n">
        <v>0.0816</v>
      </c>
      <c r="G89" s="1" t="n">
        <v>0.064412</v>
      </c>
      <c r="H89" s="1" t="n">
        <v>0.0998045</v>
      </c>
      <c r="J89" s="1" t="n">
        <f aca="false">C89-D89</f>
        <v>-0.0408</v>
      </c>
      <c r="K89" s="1" t="n">
        <f aca="false">G89-H89</f>
        <v>-0.0353925</v>
      </c>
    </row>
    <row r="90" customFormat="false" ht="13.8" hidden="false" customHeight="false" outlineLevel="0" collapsed="false">
      <c r="A90" s="5" t="n">
        <v>28611</v>
      </c>
      <c r="B90" s="1" t="n">
        <v>0.0176</v>
      </c>
      <c r="C90" s="1" t="n">
        <v>0.0292</v>
      </c>
      <c r="D90" s="1" t="n">
        <v>0.0179</v>
      </c>
      <c r="E90" s="1" t="n">
        <v>0.0641</v>
      </c>
      <c r="F90" s="1" t="n">
        <v>0.0083</v>
      </c>
      <c r="G90" s="1" t="n">
        <v>0.034687</v>
      </c>
      <c r="H90" s="1" t="n">
        <v>0.0398575</v>
      </c>
      <c r="J90" s="1" t="n">
        <f aca="false">C90-D90</f>
        <v>0.0113</v>
      </c>
      <c r="K90" s="1" t="n">
        <f aca="false">G90-H90</f>
        <v>-0.00517049999999999</v>
      </c>
    </row>
    <row r="91" customFormat="false" ht="13.8" hidden="false" customHeight="false" outlineLevel="0" collapsed="false">
      <c r="A91" s="5" t="n">
        <v>28642</v>
      </c>
      <c r="B91" s="1" t="n">
        <v>-0.0169</v>
      </c>
      <c r="C91" s="1" t="n">
        <v>-0.0141</v>
      </c>
      <c r="D91" s="1" t="n">
        <v>-0.0188</v>
      </c>
      <c r="E91" s="1" t="n">
        <v>0.0001</v>
      </c>
      <c r="F91" s="1" t="n">
        <v>-0.0218</v>
      </c>
      <c r="G91" s="1" t="n">
        <v>-0.0114465</v>
      </c>
      <c r="H91" s="1" t="n">
        <v>-0.0171265</v>
      </c>
      <c r="J91" s="1" t="n">
        <f aca="false">C91-D91</f>
        <v>0.0047</v>
      </c>
      <c r="K91" s="1" t="n">
        <f aca="false">G91-H91</f>
        <v>0.00568</v>
      </c>
    </row>
    <row r="92" customFormat="false" ht="13.8" hidden="false" customHeight="false" outlineLevel="0" collapsed="false">
      <c r="A92" s="5" t="n">
        <v>28672</v>
      </c>
      <c r="B92" s="1" t="n">
        <v>0.0511</v>
      </c>
      <c r="C92" s="1" t="n">
        <v>0.0533</v>
      </c>
      <c r="D92" s="1" t="n">
        <v>0.0644</v>
      </c>
      <c r="E92" s="1" t="n">
        <v>0.0493</v>
      </c>
      <c r="F92" s="1" t="n">
        <v>0.051</v>
      </c>
      <c r="G92" s="1" t="n">
        <v>0.0529335</v>
      </c>
      <c r="H92" s="1" t="n">
        <v>0.064482</v>
      </c>
      <c r="J92" s="1" t="n">
        <f aca="false">C92-D92</f>
        <v>-0.0111</v>
      </c>
      <c r="K92" s="1" t="n">
        <f aca="false">G92-H92</f>
        <v>-0.0115485</v>
      </c>
    </row>
    <row r="93" customFormat="false" ht="13.8" hidden="false" customHeight="false" outlineLevel="0" collapsed="false">
      <c r="A93" s="5" t="n">
        <v>28703</v>
      </c>
      <c r="B93" s="1" t="n">
        <v>0.0375</v>
      </c>
      <c r="C93" s="1" t="n">
        <v>0.031</v>
      </c>
      <c r="D93" s="1" t="n">
        <v>0.0345</v>
      </c>
      <c r="E93" s="1" t="n">
        <v>0.082</v>
      </c>
      <c r="F93" s="1" t="n">
        <v>0.028</v>
      </c>
      <c r="G93" s="1" t="n">
        <v>0.048195</v>
      </c>
      <c r="H93" s="1" t="n">
        <v>0.0533075</v>
      </c>
      <c r="J93" s="1" t="n">
        <f aca="false">C93-D93</f>
        <v>-0.0035</v>
      </c>
      <c r="K93" s="1" t="n">
        <f aca="false">G93-H93</f>
        <v>-0.0051125</v>
      </c>
    </row>
    <row r="94" customFormat="false" ht="13.8" hidden="false" customHeight="false" outlineLevel="0" collapsed="false">
      <c r="A94" s="5" t="n">
        <v>28734</v>
      </c>
      <c r="B94" s="1" t="n">
        <v>-0.0143</v>
      </c>
      <c r="C94" s="1" t="n">
        <v>-0.0082</v>
      </c>
      <c r="D94" s="1" t="n">
        <v>-0.0312</v>
      </c>
      <c r="E94" s="1" t="n">
        <v>-0.0127</v>
      </c>
      <c r="F94" s="1" t="n">
        <v>-0.0127</v>
      </c>
      <c r="G94" s="1" t="n">
        <v>-0.0096255</v>
      </c>
      <c r="H94" s="1" t="n">
        <v>-0.028514</v>
      </c>
      <c r="J94" s="1" t="n">
        <f aca="false">C94-D94</f>
        <v>0.023</v>
      </c>
      <c r="K94" s="1" t="n">
        <f aca="false">G94-H94</f>
        <v>0.0188885</v>
      </c>
    </row>
    <row r="95" customFormat="false" ht="13.8" hidden="false" customHeight="false" outlineLevel="0" collapsed="false">
      <c r="A95" s="5" t="n">
        <v>28764</v>
      </c>
      <c r="B95" s="1" t="n">
        <v>-0.1191</v>
      </c>
      <c r="C95" s="1" t="n">
        <v>-0.1403</v>
      </c>
      <c r="D95" s="1" t="n">
        <v>-0.1193</v>
      </c>
      <c r="E95" s="1" t="n">
        <v>-0.2123</v>
      </c>
      <c r="F95" s="1" t="n">
        <v>-0.0972</v>
      </c>
      <c r="G95" s="1" t="n">
        <v>-0.1579385</v>
      </c>
      <c r="H95" s="1" t="n">
        <v>-0.171744</v>
      </c>
      <c r="J95" s="1" t="n">
        <f aca="false">C95-D95</f>
        <v>-0.021</v>
      </c>
      <c r="K95" s="1" t="n">
        <f aca="false">G95-H95</f>
        <v>0.0138055</v>
      </c>
    </row>
    <row r="96" customFormat="false" ht="13.8" hidden="false" customHeight="false" outlineLevel="0" collapsed="false">
      <c r="A96" s="5" t="n">
        <v>28795</v>
      </c>
      <c r="B96" s="1" t="n">
        <v>0.0271</v>
      </c>
      <c r="C96" s="1" t="n">
        <v>0.0264</v>
      </c>
      <c r="D96" s="1" t="n">
        <v>0.0271</v>
      </c>
      <c r="E96" s="1" t="n">
        <v>0.0483</v>
      </c>
      <c r="F96" s="1" t="n">
        <v>0.023</v>
      </c>
      <c r="G96" s="1" t="n">
        <v>0.029932</v>
      </c>
      <c r="H96" s="1" t="n">
        <v>0.0514015</v>
      </c>
      <c r="J96" s="1" t="n">
        <f aca="false">C96-D96</f>
        <v>-0.000699999999999999</v>
      </c>
      <c r="K96" s="1" t="n">
        <f aca="false">G96-H96</f>
        <v>-0.0214695</v>
      </c>
    </row>
    <row r="97" customFormat="false" ht="13.8" hidden="false" customHeight="false" outlineLevel="0" collapsed="false">
      <c r="A97" s="5" t="n">
        <v>28825</v>
      </c>
      <c r="B97" s="1" t="n">
        <v>0.0088</v>
      </c>
      <c r="C97" s="1" t="n">
        <v>-0.0059</v>
      </c>
      <c r="D97" s="1" t="n">
        <v>0.0204</v>
      </c>
      <c r="E97" s="1" t="n">
        <v>0.0117</v>
      </c>
      <c r="F97" s="1" t="n">
        <v>0.0082</v>
      </c>
      <c r="G97" s="1" t="n">
        <v>0.000289000000000001</v>
      </c>
      <c r="H97" s="1" t="n">
        <v>0.021578</v>
      </c>
      <c r="J97" s="1" t="n">
        <f aca="false">C97-D97</f>
        <v>-0.0263</v>
      </c>
      <c r="K97" s="1" t="n">
        <f aca="false">G97-H97</f>
        <v>-0.021289</v>
      </c>
    </row>
    <row r="98" customFormat="false" ht="13.8" hidden="false" customHeight="false" outlineLevel="0" collapsed="false">
      <c r="A98" s="5" t="n">
        <v>28856</v>
      </c>
      <c r="B98" s="1" t="n">
        <v>0.0423</v>
      </c>
      <c r="C98" s="1" t="n">
        <v>0.0666</v>
      </c>
      <c r="D98" s="1" t="n">
        <v>0.0313</v>
      </c>
      <c r="E98" s="1" t="n">
        <v>0.0864</v>
      </c>
      <c r="F98" s="1" t="n">
        <v>0.0345</v>
      </c>
      <c r="G98" s="1" t="n">
        <v>0.07403</v>
      </c>
      <c r="H98" s="1" t="n">
        <v>0.0521615</v>
      </c>
      <c r="J98" s="1" t="n">
        <f aca="false">C98-D98</f>
        <v>0.0353</v>
      </c>
      <c r="K98" s="1" t="n">
        <f aca="false">G98-H98</f>
        <v>0.0218685</v>
      </c>
    </row>
    <row r="99" customFormat="false" ht="13.8" hidden="false" customHeight="false" outlineLevel="0" collapsed="false">
      <c r="A99" s="5" t="n">
        <v>28887</v>
      </c>
      <c r="B99" s="1" t="n">
        <v>-0.0356</v>
      </c>
      <c r="C99" s="1" t="n">
        <v>-0.0338</v>
      </c>
      <c r="D99" s="1" t="n">
        <v>-0.044</v>
      </c>
      <c r="E99" s="1" t="n">
        <v>-0.0286</v>
      </c>
      <c r="F99" s="1" t="n">
        <v>-0.0368</v>
      </c>
      <c r="G99" s="1" t="n">
        <v>-0.031381</v>
      </c>
      <c r="H99" s="1" t="n">
        <v>-0.0430645</v>
      </c>
      <c r="J99" s="1" t="n">
        <f aca="false">C99-D99</f>
        <v>0.0102</v>
      </c>
      <c r="K99" s="1" t="n">
        <f aca="false">G99-H99</f>
        <v>0.0116835</v>
      </c>
    </row>
    <row r="100" customFormat="false" ht="13.8" hidden="false" customHeight="false" outlineLevel="0" collapsed="false">
      <c r="A100" s="5" t="n">
        <v>28915</v>
      </c>
      <c r="B100" s="1" t="n">
        <v>0.0568</v>
      </c>
      <c r="C100" s="1" t="n">
        <v>0.0696</v>
      </c>
      <c r="D100" s="1" t="n">
        <v>0.0553</v>
      </c>
      <c r="E100" s="1" t="n">
        <v>0.0796</v>
      </c>
      <c r="F100" s="1" t="n">
        <v>0.0497</v>
      </c>
      <c r="G100" s="1" t="n">
        <v>0.072157</v>
      </c>
      <c r="H100" s="1" t="n">
        <v>0.0792545</v>
      </c>
      <c r="J100" s="1" t="n">
        <f aca="false">C100-D100</f>
        <v>0.0143</v>
      </c>
      <c r="K100" s="1" t="n">
        <f aca="false">G100-H100</f>
        <v>-0.00709750000000001</v>
      </c>
    </row>
    <row r="101" customFormat="false" ht="13.8" hidden="false" customHeight="false" outlineLevel="0" collapsed="false">
      <c r="A101" s="5" t="n">
        <v>28946</v>
      </c>
      <c r="B101" s="1" t="n">
        <v>-0.0006</v>
      </c>
      <c r="C101" s="1" t="n">
        <v>0.0052</v>
      </c>
      <c r="D101" s="1" t="n">
        <v>-0.0052</v>
      </c>
      <c r="E101" s="1" t="n">
        <v>0.0168</v>
      </c>
      <c r="F101" s="1" t="n">
        <v>-0.0055</v>
      </c>
      <c r="G101" s="1" t="n">
        <v>0.0119845</v>
      </c>
      <c r="H101" s="1" t="n">
        <v>0.000795499999999999</v>
      </c>
      <c r="J101" s="1" t="n">
        <f aca="false">C101-D101</f>
        <v>0.0104</v>
      </c>
      <c r="K101" s="1" t="n">
        <f aca="false">G101-H101</f>
        <v>0.011189</v>
      </c>
    </row>
    <row r="102" customFormat="false" ht="13.8" hidden="false" customHeight="false" outlineLevel="0" collapsed="false">
      <c r="A102" s="5" t="n">
        <v>28976</v>
      </c>
      <c r="B102" s="1" t="n">
        <v>-0.0221</v>
      </c>
      <c r="C102" s="1" t="n">
        <v>-0.0193</v>
      </c>
      <c r="D102" s="1" t="n">
        <v>-0.0272</v>
      </c>
      <c r="E102" s="1" t="n">
        <v>-0.0212</v>
      </c>
      <c r="F102" s="1" t="n">
        <v>-0.0225</v>
      </c>
      <c r="G102" s="1" t="n">
        <v>-0.01724</v>
      </c>
      <c r="H102" s="1" t="n">
        <v>-0.0303365</v>
      </c>
      <c r="J102" s="1" t="n">
        <f aca="false">C102-D102</f>
        <v>0.0079</v>
      </c>
      <c r="K102" s="1" t="n">
        <f aca="false">G102-H102</f>
        <v>0.0130965</v>
      </c>
    </row>
    <row r="103" customFormat="false" ht="13.8" hidden="false" customHeight="false" outlineLevel="0" collapsed="false">
      <c r="A103" s="5" t="n">
        <v>29007</v>
      </c>
      <c r="B103" s="1" t="n">
        <v>0.0385</v>
      </c>
      <c r="C103" s="1" t="n">
        <v>0.0495</v>
      </c>
      <c r="D103" s="1" t="n">
        <v>0.0257</v>
      </c>
      <c r="E103" s="1" t="n">
        <v>0.0494</v>
      </c>
      <c r="F103" s="1" t="n">
        <v>0.0355</v>
      </c>
      <c r="G103" s="1" t="n">
        <v>0.0505915</v>
      </c>
      <c r="H103" s="1" t="n">
        <v>0.03615</v>
      </c>
      <c r="J103" s="1" t="n">
        <f aca="false">C103-D103</f>
        <v>0.0238</v>
      </c>
      <c r="K103" s="1" t="n">
        <f aca="false">G103-H103</f>
        <v>0.0144415</v>
      </c>
    </row>
    <row r="104" customFormat="false" ht="13.8" hidden="false" customHeight="false" outlineLevel="0" collapsed="false">
      <c r="A104" s="5" t="n">
        <v>29037</v>
      </c>
      <c r="B104" s="1" t="n">
        <v>0.0082</v>
      </c>
      <c r="C104" s="1" t="n">
        <v>0.0228</v>
      </c>
      <c r="D104" s="1" t="n">
        <v>-0.0003</v>
      </c>
      <c r="E104" s="1" t="n">
        <v>0.0175</v>
      </c>
      <c r="F104" s="1" t="n">
        <v>0.003</v>
      </c>
      <c r="G104" s="1" t="n">
        <v>0.023489</v>
      </c>
      <c r="H104" s="1" t="n">
        <v>0.00488</v>
      </c>
      <c r="J104" s="1" t="n">
        <f aca="false">C104-D104</f>
        <v>0.0231</v>
      </c>
      <c r="K104" s="1" t="n">
        <f aca="false">G104-H104</f>
        <v>0.018609</v>
      </c>
    </row>
    <row r="105" customFormat="false" ht="13.8" hidden="false" customHeight="false" outlineLevel="0" collapsed="false">
      <c r="A105" s="5" t="n">
        <v>29068</v>
      </c>
      <c r="B105" s="1" t="n">
        <v>0.0553</v>
      </c>
      <c r="C105" s="1" t="n">
        <v>0.0501</v>
      </c>
      <c r="D105" s="1" t="n">
        <v>0.0631</v>
      </c>
      <c r="E105" s="1" t="n">
        <v>0.0685</v>
      </c>
      <c r="F105" s="1" t="n">
        <v>0.0517</v>
      </c>
      <c r="G105" s="1" t="n">
        <v>0.055881</v>
      </c>
      <c r="H105" s="1" t="n">
        <v>0.0716595</v>
      </c>
      <c r="J105" s="1" t="n">
        <f aca="false">C105-D105</f>
        <v>-0.013</v>
      </c>
      <c r="K105" s="1" t="n">
        <f aca="false">G105-H105</f>
        <v>-0.0157785</v>
      </c>
    </row>
    <row r="106" customFormat="false" ht="13.8" hidden="false" customHeight="false" outlineLevel="0" collapsed="false">
      <c r="A106" s="5" t="n">
        <v>29099</v>
      </c>
      <c r="B106" s="1" t="n">
        <v>-0.0082</v>
      </c>
      <c r="C106" s="1" t="n">
        <v>-0.0163</v>
      </c>
      <c r="D106" s="1" t="n">
        <v>-0.0147</v>
      </c>
      <c r="E106" s="1" t="n">
        <v>-0.015</v>
      </c>
      <c r="F106" s="1" t="n">
        <v>-0.0074</v>
      </c>
      <c r="G106" s="1" t="n">
        <v>-0.0173985</v>
      </c>
      <c r="H106" s="1" t="n">
        <v>-0.00842</v>
      </c>
      <c r="J106" s="1" t="n">
        <f aca="false">C106-D106</f>
        <v>-0.0016</v>
      </c>
      <c r="K106" s="1" t="n">
        <f aca="false">G106-H106</f>
        <v>-0.0089785</v>
      </c>
    </row>
    <row r="107" customFormat="false" ht="13.8" hidden="false" customHeight="false" outlineLevel="0" collapsed="false">
      <c r="A107" s="5" t="n">
        <v>29129</v>
      </c>
      <c r="B107" s="1" t="n">
        <v>-0.081</v>
      </c>
      <c r="C107" s="1" t="n">
        <v>-0.098</v>
      </c>
      <c r="D107" s="1" t="n">
        <v>-0.079</v>
      </c>
      <c r="E107" s="1" t="n">
        <v>-0.1169</v>
      </c>
      <c r="F107" s="1" t="n">
        <v>-0.0731</v>
      </c>
      <c r="G107" s="1" t="n">
        <v>-0.107086</v>
      </c>
      <c r="H107" s="1" t="n">
        <v>-0.088636</v>
      </c>
      <c r="J107" s="1" t="n">
        <f aca="false">C107-D107</f>
        <v>-0.019</v>
      </c>
      <c r="K107" s="1" t="n">
        <f aca="false">G107-H107</f>
        <v>-0.01845</v>
      </c>
    </row>
    <row r="108" customFormat="false" ht="13.8" hidden="false" customHeight="false" outlineLevel="0" collapsed="false">
      <c r="A108" s="5" t="n">
        <v>29160</v>
      </c>
      <c r="B108" s="1" t="n">
        <v>0.0521</v>
      </c>
      <c r="C108" s="1" t="n">
        <v>0.0364</v>
      </c>
      <c r="D108" s="1" t="n">
        <v>0.0597</v>
      </c>
      <c r="E108" s="1" t="n">
        <v>0.0694</v>
      </c>
      <c r="F108" s="1" t="n">
        <v>0.0462</v>
      </c>
      <c r="G108" s="1" t="n">
        <v>0.0444785</v>
      </c>
      <c r="H108" s="1" t="n">
        <v>0.077368</v>
      </c>
      <c r="J108" s="1" t="n">
        <f aca="false">C108-D108</f>
        <v>-0.0233</v>
      </c>
      <c r="K108" s="1" t="n">
        <f aca="false">G108-H108</f>
        <v>-0.0328895</v>
      </c>
    </row>
    <row r="109" customFormat="false" ht="13.8" hidden="false" customHeight="false" outlineLevel="0" collapsed="false">
      <c r="A109" s="5" t="n">
        <v>29190</v>
      </c>
      <c r="B109" s="1" t="n">
        <v>0.0179</v>
      </c>
      <c r="C109" s="1" t="n">
        <v>0.0162</v>
      </c>
      <c r="D109" s="1" t="n">
        <v>0.0267</v>
      </c>
      <c r="E109" s="1" t="n">
        <v>0.0633</v>
      </c>
      <c r="F109" s="1" t="n">
        <v>0.0091</v>
      </c>
      <c r="G109" s="1" t="n">
        <v>0.0256615</v>
      </c>
      <c r="H109" s="1" t="n">
        <v>0.046695</v>
      </c>
      <c r="J109" s="1" t="n">
        <f aca="false">C109-D109</f>
        <v>-0.0105</v>
      </c>
      <c r="K109" s="1" t="n">
        <f aca="false">G109-H109</f>
        <v>-0.0210335</v>
      </c>
    </row>
    <row r="110" customFormat="false" ht="13.8" hidden="false" customHeight="false" outlineLevel="0" collapsed="false">
      <c r="A110" s="5" t="n">
        <v>29221</v>
      </c>
      <c r="B110" s="1" t="n">
        <v>0.0551</v>
      </c>
      <c r="C110" s="1" t="n">
        <v>0.0721</v>
      </c>
      <c r="D110" s="1" t="n">
        <v>0.045</v>
      </c>
      <c r="E110" s="1" t="n">
        <v>0.0851</v>
      </c>
      <c r="F110" s="1" t="n">
        <v>0.0517</v>
      </c>
      <c r="G110" s="1" t="n">
        <v>0.073876</v>
      </c>
      <c r="H110" s="1" t="n">
        <v>0.0564255</v>
      </c>
      <c r="J110" s="1" t="n">
        <f aca="false">C110-D110</f>
        <v>0.0271</v>
      </c>
      <c r="K110" s="1" t="n">
        <f aca="false">G110-H110</f>
        <v>0.0174505</v>
      </c>
    </row>
    <row r="111" customFormat="false" ht="13.8" hidden="false" customHeight="false" outlineLevel="0" collapsed="false">
      <c r="A111" s="5" t="n">
        <v>29252</v>
      </c>
      <c r="B111" s="1" t="n">
        <v>-0.0122</v>
      </c>
      <c r="C111" s="1" t="n">
        <v>-0.0112</v>
      </c>
      <c r="D111" s="1" t="n">
        <v>-0.0363</v>
      </c>
      <c r="E111" s="1" t="n">
        <v>-0.0191</v>
      </c>
      <c r="F111" s="1" t="n">
        <v>-0.007</v>
      </c>
      <c r="G111" s="1" t="n">
        <v>-0.020038</v>
      </c>
      <c r="H111" s="1" t="n">
        <v>-0.026139</v>
      </c>
      <c r="J111" s="1" t="n">
        <f aca="false">C111-D111</f>
        <v>0.0251</v>
      </c>
      <c r="K111" s="1" t="n">
        <f aca="false">G111-H111</f>
        <v>0.006101</v>
      </c>
    </row>
    <row r="112" customFormat="false" ht="13.8" hidden="false" customHeight="false" outlineLevel="0" collapsed="false">
      <c r="A112" s="5" t="n">
        <v>29281</v>
      </c>
      <c r="B112" s="1" t="n">
        <v>-0.129</v>
      </c>
      <c r="C112" s="1" t="n">
        <v>-0.1516</v>
      </c>
      <c r="D112" s="1" t="n">
        <v>-0.1157</v>
      </c>
      <c r="E112" s="1" t="n">
        <v>-0.1962</v>
      </c>
      <c r="F112" s="1" t="n">
        <v>-0.1122</v>
      </c>
      <c r="G112" s="1" t="n">
        <v>-0.1641885</v>
      </c>
      <c r="H112" s="1" t="n">
        <v>-0.154137</v>
      </c>
      <c r="J112" s="1" t="n">
        <f aca="false">C112-D112</f>
        <v>-0.0359</v>
      </c>
      <c r="K112" s="1" t="n">
        <f aca="false">G112-H112</f>
        <v>-0.0100515</v>
      </c>
    </row>
    <row r="113" customFormat="false" ht="13.8" hidden="false" customHeight="false" outlineLevel="0" collapsed="false">
      <c r="A113" s="5" t="n">
        <v>29312</v>
      </c>
      <c r="B113" s="1" t="n">
        <v>0.0397</v>
      </c>
      <c r="C113" s="1" t="n">
        <v>0.0484</v>
      </c>
      <c r="D113" s="1" t="n">
        <v>0.0277</v>
      </c>
      <c r="E113" s="1" t="n">
        <v>0.0497</v>
      </c>
      <c r="F113" s="1" t="n">
        <v>0.0345</v>
      </c>
      <c r="G113" s="1" t="n">
        <v>0.047865</v>
      </c>
      <c r="H113" s="1" t="n">
        <v>0.0373145</v>
      </c>
      <c r="J113" s="1" t="n">
        <f aca="false">C113-D113</f>
        <v>0.0207</v>
      </c>
      <c r="K113" s="1" t="n">
        <f aca="false">G113-H113</f>
        <v>0.0105505</v>
      </c>
    </row>
    <row r="114" customFormat="false" ht="13.8" hidden="false" customHeight="false" outlineLevel="0" collapsed="false">
      <c r="A114" s="5" t="n">
        <v>29342</v>
      </c>
      <c r="B114" s="1" t="n">
        <v>0.0526</v>
      </c>
      <c r="C114" s="1" t="n">
        <v>0.0599</v>
      </c>
      <c r="D114" s="1" t="n">
        <v>0.052</v>
      </c>
      <c r="E114" s="1" t="n">
        <v>0.065</v>
      </c>
      <c r="F114" s="1" t="n">
        <v>0.0462</v>
      </c>
      <c r="G114" s="1" t="n">
        <v>0.064733</v>
      </c>
      <c r="H114" s="1" t="n">
        <v>0.060982</v>
      </c>
      <c r="J114" s="1" t="n">
        <f aca="false">C114-D114</f>
        <v>0.0079</v>
      </c>
      <c r="K114" s="1" t="n">
        <f aca="false">G114-H114</f>
        <v>0.003751</v>
      </c>
    </row>
    <row r="115" customFormat="false" ht="13.8" hidden="false" customHeight="false" outlineLevel="0" collapsed="false">
      <c r="A115" s="5" t="n">
        <v>29373</v>
      </c>
      <c r="B115" s="1" t="n">
        <v>0.0306</v>
      </c>
      <c r="C115" s="1" t="n">
        <v>0.0219</v>
      </c>
      <c r="D115" s="1" t="n">
        <v>0.0269</v>
      </c>
      <c r="E115" s="1" t="n">
        <v>0.0386</v>
      </c>
      <c r="F115" s="1" t="n">
        <v>0.026</v>
      </c>
      <c r="G115" s="1" t="n">
        <v>0.027617</v>
      </c>
      <c r="H115" s="1" t="n">
        <v>0.0351775</v>
      </c>
      <c r="J115" s="1" t="n">
        <f aca="false">C115-D115</f>
        <v>-0.005</v>
      </c>
      <c r="K115" s="1" t="n">
        <f aca="false">G115-H115</f>
        <v>-0.0075605</v>
      </c>
    </row>
    <row r="116" customFormat="false" ht="13.8" hidden="false" customHeight="false" outlineLevel="0" collapsed="false">
      <c r="A116" s="5" t="n">
        <v>29403</v>
      </c>
      <c r="B116" s="1" t="n">
        <v>0.0649</v>
      </c>
      <c r="C116" s="1" t="n">
        <v>0.0293</v>
      </c>
      <c r="D116" s="1" t="n">
        <v>0.0927</v>
      </c>
      <c r="E116" s="1" t="n">
        <v>0.0958</v>
      </c>
      <c r="F116" s="1" t="n">
        <v>0.0572</v>
      </c>
      <c r="G116" s="1" t="n">
        <v>0.043927</v>
      </c>
      <c r="H116" s="1" t="n">
        <v>0.108</v>
      </c>
      <c r="J116" s="1" t="n">
        <f aca="false">C116-D116</f>
        <v>-0.0634</v>
      </c>
      <c r="K116" s="1" t="n">
        <f aca="false">G116-H116</f>
        <v>-0.064073</v>
      </c>
    </row>
    <row r="117" customFormat="false" ht="13.8" hidden="false" customHeight="false" outlineLevel="0" collapsed="false">
      <c r="A117" s="5" t="n">
        <v>29434</v>
      </c>
      <c r="B117" s="1" t="n">
        <v>0.018</v>
      </c>
      <c r="C117" s="1" t="n">
        <v>0.0143</v>
      </c>
      <c r="D117" s="1" t="n">
        <v>0.0218</v>
      </c>
      <c r="E117" s="1" t="n">
        <v>0.0656</v>
      </c>
      <c r="F117" s="1" t="n">
        <v>0.0083</v>
      </c>
      <c r="G117" s="1" t="n">
        <v>0.020585</v>
      </c>
      <c r="H117" s="1" t="n">
        <v>0.046615</v>
      </c>
      <c r="J117" s="1" t="n">
        <f aca="false">C117-D117</f>
        <v>-0.0075</v>
      </c>
      <c r="K117" s="1" t="n">
        <f aca="false">G117-H117</f>
        <v>-0.02603</v>
      </c>
    </row>
    <row r="118" customFormat="false" ht="13.8" hidden="false" customHeight="false" outlineLevel="0" collapsed="false">
      <c r="A118" s="5" t="n">
        <v>29465</v>
      </c>
      <c r="B118" s="1" t="n">
        <v>0.0219</v>
      </c>
      <c r="C118" s="1" t="n">
        <v>-0.0137</v>
      </c>
      <c r="D118" s="1" t="n">
        <v>0.0343</v>
      </c>
      <c r="E118" s="1" t="n">
        <v>0.0323</v>
      </c>
      <c r="F118" s="1" t="n">
        <v>0.021</v>
      </c>
      <c r="G118" s="1" t="n">
        <v>-0.0069175</v>
      </c>
      <c r="H118" s="1" t="n">
        <v>0.038951</v>
      </c>
      <c r="J118" s="1" t="n">
        <f aca="false">C118-D118</f>
        <v>-0.048</v>
      </c>
      <c r="K118" s="1" t="n">
        <f aca="false">G118-H118</f>
        <v>-0.0458685</v>
      </c>
    </row>
    <row r="119" customFormat="false" ht="13.8" hidden="false" customHeight="false" outlineLevel="0" collapsed="false">
      <c r="A119" s="5" t="n">
        <v>29495</v>
      </c>
      <c r="B119" s="1" t="n">
        <v>0.0106</v>
      </c>
      <c r="C119" s="1" t="n">
        <v>-0.0119</v>
      </c>
      <c r="D119" s="1" t="n">
        <v>0.0134</v>
      </c>
      <c r="E119" s="1" t="n">
        <v>0.0368</v>
      </c>
      <c r="F119" s="1" t="n">
        <v>0.0083</v>
      </c>
      <c r="G119" s="1" t="n">
        <v>0.0012105</v>
      </c>
      <c r="H119" s="1" t="n">
        <v>0.0288245</v>
      </c>
      <c r="J119" s="1" t="n">
        <f aca="false">C119-D119</f>
        <v>-0.0253</v>
      </c>
      <c r="K119" s="1" t="n">
        <f aca="false">G119-H119</f>
        <v>-0.027614</v>
      </c>
    </row>
    <row r="120" customFormat="false" ht="13.8" hidden="false" customHeight="false" outlineLevel="0" collapsed="false">
      <c r="A120" s="5" t="n">
        <v>29526</v>
      </c>
      <c r="B120" s="1" t="n">
        <v>0.0959</v>
      </c>
      <c r="C120" s="1" t="n">
        <v>0.0353</v>
      </c>
      <c r="D120" s="1" t="n">
        <v>0.1072</v>
      </c>
      <c r="E120" s="1" t="n">
        <v>0.0688</v>
      </c>
      <c r="F120" s="1" t="n">
        <v>0.1044</v>
      </c>
      <c r="G120" s="1" t="n">
        <v>0.028193</v>
      </c>
      <c r="H120" s="1" t="n">
        <v>0.1115005</v>
      </c>
      <c r="J120" s="1" t="n">
        <f aca="false">C120-D120</f>
        <v>-0.0719</v>
      </c>
      <c r="K120" s="1" t="n">
        <f aca="false">G120-H120</f>
        <v>-0.0833075</v>
      </c>
    </row>
    <row r="121" customFormat="false" ht="13.8" hidden="false" customHeight="false" outlineLevel="0" collapsed="false">
      <c r="A121" s="5" t="n">
        <v>29556</v>
      </c>
      <c r="B121" s="1" t="n">
        <v>-0.0452</v>
      </c>
      <c r="C121" s="1" t="n">
        <v>-0.0213</v>
      </c>
      <c r="D121" s="1" t="n">
        <v>-0.0387</v>
      </c>
      <c r="E121" s="1" t="n">
        <v>-0.0548</v>
      </c>
      <c r="F121" s="1" t="n">
        <v>-0.044</v>
      </c>
      <c r="G121" s="1" t="n">
        <v>-0.022851</v>
      </c>
      <c r="H121" s="1" t="n">
        <v>-0.050747</v>
      </c>
      <c r="J121" s="1" t="n">
        <f aca="false">C121-D121</f>
        <v>0.0174</v>
      </c>
      <c r="K121" s="1" t="n">
        <f aca="false">G121-H121</f>
        <v>0.027896</v>
      </c>
    </row>
    <row r="122" customFormat="false" ht="13.8" hidden="false" customHeight="false" outlineLevel="0" collapsed="false">
      <c r="A122" s="5" t="n">
        <v>29587</v>
      </c>
      <c r="B122" s="1" t="n">
        <v>-0.0504</v>
      </c>
      <c r="C122" s="1" t="n">
        <v>0.0069</v>
      </c>
      <c r="D122" s="1" t="n">
        <v>-0.0669</v>
      </c>
      <c r="E122" s="1" t="n">
        <v>-0.0169</v>
      </c>
      <c r="F122" s="1" t="n">
        <v>-0.059</v>
      </c>
      <c r="G122" s="1" t="n">
        <v>0.0083825</v>
      </c>
      <c r="H122" s="1" t="n">
        <v>-0.058775</v>
      </c>
      <c r="J122" s="1" t="n">
        <f aca="false">C122-D122</f>
        <v>0.0738</v>
      </c>
      <c r="K122" s="1" t="n">
        <f aca="false">G122-H122</f>
        <v>0.0671575</v>
      </c>
    </row>
    <row r="123" customFormat="false" ht="13.8" hidden="false" customHeight="false" outlineLevel="0" collapsed="false">
      <c r="A123" s="5" t="n">
        <v>29618</v>
      </c>
      <c r="B123" s="1" t="n">
        <v>0.0057</v>
      </c>
      <c r="C123" s="1" t="n">
        <v>0.0053</v>
      </c>
      <c r="D123" s="1" t="n">
        <v>0.0131</v>
      </c>
      <c r="E123" s="1" t="n">
        <v>-0.0108</v>
      </c>
      <c r="F123" s="1" t="n">
        <v>0.0081</v>
      </c>
      <c r="G123" s="1" t="n">
        <v>0.009922</v>
      </c>
      <c r="H123" s="1" t="n">
        <v>-0.0003145</v>
      </c>
      <c r="J123" s="1" t="n">
        <f aca="false">C123-D123</f>
        <v>-0.0078</v>
      </c>
      <c r="K123" s="1" t="n">
        <f aca="false">G123-H123</f>
        <v>0.0102365</v>
      </c>
    </row>
    <row r="124" customFormat="false" ht="13.8" hidden="false" customHeight="false" outlineLevel="0" collapsed="false">
      <c r="A124" s="5" t="n">
        <v>29646</v>
      </c>
      <c r="B124" s="1" t="n">
        <v>0.0356</v>
      </c>
      <c r="C124" s="1" t="n">
        <v>0.0444</v>
      </c>
      <c r="D124" s="1" t="n">
        <v>0.0315</v>
      </c>
      <c r="E124" s="1" t="n">
        <v>0.0641</v>
      </c>
      <c r="F124" s="1" t="n">
        <v>0.0226</v>
      </c>
      <c r="G124" s="1" t="n">
        <v>0.052391</v>
      </c>
      <c r="H124" s="1" t="n">
        <v>0.045965</v>
      </c>
      <c r="J124" s="1" t="n">
        <f aca="false">C124-D124</f>
        <v>0.0129</v>
      </c>
      <c r="K124" s="1" t="n">
        <f aca="false">G124-H124</f>
        <v>0.006426</v>
      </c>
    </row>
    <row r="125" customFormat="false" ht="13.8" hidden="false" customHeight="false" outlineLevel="0" collapsed="false">
      <c r="A125" s="5" t="n">
        <v>29677</v>
      </c>
      <c r="B125" s="1" t="n">
        <v>-0.0211</v>
      </c>
      <c r="C125" s="1" t="n">
        <v>0.0049</v>
      </c>
      <c r="D125" s="1" t="n">
        <v>-0.0272</v>
      </c>
      <c r="E125" s="1" t="n">
        <v>0.0225</v>
      </c>
      <c r="F125" s="1" t="n">
        <v>-0.0315</v>
      </c>
      <c r="G125" s="1" t="n">
        <v>0.013582</v>
      </c>
      <c r="H125" s="1" t="n">
        <v>-0.0092045</v>
      </c>
      <c r="J125" s="1" t="n">
        <f aca="false">C125-D125</f>
        <v>0.0321</v>
      </c>
      <c r="K125" s="1" t="n">
        <f aca="false">G125-H125</f>
        <v>0.0227865</v>
      </c>
    </row>
    <row r="126" customFormat="false" ht="13.8" hidden="false" customHeight="false" outlineLevel="0" collapsed="false">
      <c r="A126" s="5" t="n">
        <v>29707</v>
      </c>
      <c r="B126" s="1" t="n">
        <v>0.0011</v>
      </c>
      <c r="C126" s="1" t="n">
        <v>0.0179</v>
      </c>
      <c r="D126" s="1" t="n">
        <v>0.0018</v>
      </c>
      <c r="E126" s="1" t="n">
        <v>0.0231</v>
      </c>
      <c r="F126" s="1" t="n">
        <v>-0.0062</v>
      </c>
      <c r="G126" s="1" t="n">
        <v>0.0131235</v>
      </c>
      <c r="H126" s="1" t="n">
        <v>0.0173465</v>
      </c>
      <c r="J126" s="1" t="n">
        <f aca="false">C126-D126</f>
        <v>0.0161</v>
      </c>
      <c r="K126" s="1" t="n">
        <f aca="false">G126-H126</f>
        <v>-0.004223</v>
      </c>
    </row>
    <row r="127" customFormat="false" ht="13.8" hidden="false" customHeight="false" outlineLevel="0" collapsed="false">
      <c r="A127" s="5" t="n">
        <v>29738</v>
      </c>
      <c r="B127" s="1" t="n">
        <v>-0.0236</v>
      </c>
      <c r="C127" s="1" t="n">
        <v>-0.0113</v>
      </c>
      <c r="D127" s="1" t="n">
        <v>-0.0484</v>
      </c>
      <c r="E127" s="1" t="n">
        <v>-0.031</v>
      </c>
      <c r="F127" s="1" t="n">
        <v>-0.017</v>
      </c>
      <c r="G127" s="1" t="n">
        <v>-0.00666</v>
      </c>
      <c r="H127" s="1" t="n">
        <v>-0.057966</v>
      </c>
      <c r="J127" s="1" t="n">
        <f aca="false">C127-D127</f>
        <v>0.0371</v>
      </c>
      <c r="K127" s="1" t="n">
        <f aca="false">G127-H127</f>
        <v>0.051306</v>
      </c>
    </row>
    <row r="128" customFormat="false" ht="13.8" hidden="false" customHeight="false" outlineLevel="0" collapsed="false">
      <c r="A128" s="5" t="n">
        <v>29768</v>
      </c>
      <c r="B128" s="1" t="n">
        <v>-0.0154</v>
      </c>
      <c r="C128" s="1" t="n">
        <v>-0.0237</v>
      </c>
      <c r="D128" s="1" t="n">
        <v>-0.005</v>
      </c>
      <c r="E128" s="1" t="n">
        <v>-0.0379</v>
      </c>
      <c r="F128" s="1" t="n">
        <v>-0.0091</v>
      </c>
      <c r="G128" s="1" t="n">
        <v>-0.0254785</v>
      </c>
      <c r="H128" s="1" t="n">
        <v>-0.0204885</v>
      </c>
      <c r="J128" s="1" t="n">
        <f aca="false">C128-D128</f>
        <v>-0.0187</v>
      </c>
      <c r="K128" s="1" t="n">
        <f aca="false">G128-H128</f>
        <v>-0.00499</v>
      </c>
    </row>
    <row r="129" customFormat="false" ht="13.8" hidden="false" customHeight="false" outlineLevel="0" collapsed="false">
      <c r="A129" s="5" t="n">
        <v>29799</v>
      </c>
      <c r="B129" s="1" t="n">
        <v>-0.0704</v>
      </c>
      <c r="C129" s="1" t="n">
        <v>-0.0416</v>
      </c>
      <c r="D129" s="1" t="n">
        <v>-0.0849</v>
      </c>
      <c r="E129" s="1" t="n">
        <v>-0.0942</v>
      </c>
      <c r="F129" s="1" t="n">
        <v>-0.0661</v>
      </c>
      <c r="G129" s="1" t="n">
        <v>-0.048769</v>
      </c>
      <c r="H129" s="1" t="n">
        <v>-0.096346</v>
      </c>
      <c r="J129" s="1" t="n">
        <f aca="false">C129-D129</f>
        <v>0.0433</v>
      </c>
      <c r="K129" s="1" t="n">
        <f aca="false">G129-H129</f>
        <v>0.047577</v>
      </c>
    </row>
    <row r="130" customFormat="false" ht="13.8" hidden="false" customHeight="false" outlineLevel="0" collapsed="false">
      <c r="A130" s="5" t="n">
        <v>29830</v>
      </c>
      <c r="B130" s="1" t="n">
        <v>-0.0717</v>
      </c>
      <c r="C130" s="1" t="n">
        <v>-0.0322</v>
      </c>
      <c r="D130" s="1" t="n">
        <v>-0.0814</v>
      </c>
      <c r="E130" s="1" t="n">
        <v>-0.1036</v>
      </c>
      <c r="F130" s="1" t="n">
        <v>-0.0678</v>
      </c>
      <c r="G130" s="1" t="n">
        <v>-0.043855</v>
      </c>
      <c r="H130" s="1" t="n">
        <v>-0.095581</v>
      </c>
      <c r="J130" s="1" t="n">
        <f aca="false">C130-D130</f>
        <v>0.0492</v>
      </c>
      <c r="K130" s="1" t="n">
        <f aca="false">G130-H130</f>
        <v>0.051726</v>
      </c>
    </row>
    <row r="131" customFormat="false" ht="13.8" hidden="false" customHeight="false" outlineLevel="0" collapsed="false">
      <c r="A131" s="5" t="n">
        <v>29860</v>
      </c>
      <c r="B131" s="1" t="n">
        <v>0.0492</v>
      </c>
      <c r="C131" s="1" t="n">
        <v>0.0345</v>
      </c>
      <c r="D131" s="1" t="n">
        <v>0.0716</v>
      </c>
      <c r="E131" s="1" t="n">
        <v>0.0679</v>
      </c>
      <c r="F131" s="1" t="n">
        <v>0.0449</v>
      </c>
      <c r="G131" s="1" t="n">
        <v>0.0392165</v>
      </c>
      <c r="H131" s="1" t="n">
        <v>0.081285</v>
      </c>
      <c r="J131" s="1" t="n">
        <f aca="false">C131-D131</f>
        <v>-0.0371</v>
      </c>
      <c r="K131" s="1" t="n">
        <f aca="false">G131-H131</f>
        <v>-0.0420685</v>
      </c>
    </row>
    <row r="132" customFormat="false" ht="13.8" hidden="false" customHeight="false" outlineLevel="0" collapsed="false">
      <c r="A132" s="5" t="n">
        <v>29891</v>
      </c>
      <c r="B132" s="1" t="n">
        <v>0.0336</v>
      </c>
      <c r="C132" s="1" t="n">
        <v>0.0316</v>
      </c>
      <c r="D132" s="1" t="n">
        <v>0.0273</v>
      </c>
      <c r="E132" s="1" t="n">
        <v>0.015</v>
      </c>
      <c r="F132" s="1" t="n">
        <v>0.0377</v>
      </c>
      <c r="G132" s="1" t="n">
        <v>0.0329395</v>
      </c>
      <c r="H132" s="1" t="n">
        <v>0.014605</v>
      </c>
      <c r="J132" s="1" t="n">
        <f aca="false">C132-D132</f>
        <v>0.0043</v>
      </c>
      <c r="K132" s="1" t="n">
        <f aca="false">G132-H132</f>
        <v>0.0183345</v>
      </c>
    </row>
    <row r="133" customFormat="false" ht="13.8" hidden="false" customHeight="false" outlineLevel="0" collapsed="false">
      <c r="A133" s="5" t="n">
        <v>29921</v>
      </c>
      <c r="B133" s="1" t="n">
        <v>-0.0365</v>
      </c>
      <c r="C133" s="1" t="n">
        <v>-0.0315</v>
      </c>
      <c r="D133" s="1" t="n">
        <v>-0.0392</v>
      </c>
      <c r="E133" s="1" t="n">
        <v>-0.0254</v>
      </c>
      <c r="F133" s="1" t="n">
        <v>-0.0392</v>
      </c>
      <c r="G133" s="1" t="n">
        <v>-0.0282865</v>
      </c>
      <c r="H133" s="1" t="n">
        <v>-0.0363865</v>
      </c>
      <c r="J133" s="1" t="n">
        <f aca="false">C133-D133</f>
        <v>0.0077</v>
      </c>
      <c r="K133" s="1" t="n">
        <f aca="false">G133-H133</f>
        <v>0.0081</v>
      </c>
    </row>
    <row r="134" customFormat="false" ht="13.8" hidden="false" customHeight="false" outlineLevel="0" collapsed="false">
      <c r="A134" s="5" t="n">
        <v>29952</v>
      </c>
      <c r="B134" s="1" t="n">
        <v>-0.0324</v>
      </c>
      <c r="C134" s="1" t="n">
        <v>-0.0058</v>
      </c>
      <c r="D134" s="1" t="n">
        <v>-0.0307</v>
      </c>
      <c r="E134" s="1" t="n">
        <v>-0.0301</v>
      </c>
      <c r="F134" s="1" t="n">
        <v>-0.0283</v>
      </c>
      <c r="G134" s="1" t="n">
        <v>-0.0100345</v>
      </c>
      <c r="H134" s="1" t="n">
        <v>-0.0419225</v>
      </c>
      <c r="J134" s="1" t="n">
        <f aca="false">C134-D134</f>
        <v>0.0249</v>
      </c>
      <c r="K134" s="1" t="n">
        <f aca="false">G134-H134</f>
        <v>0.031888</v>
      </c>
    </row>
    <row r="135" customFormat="false" ht="13.8" hidden="false" customHeight="false" outlineLevel="0" collapsed="false">
      <c r="A135" s="5" t="n">
        <v>29983</v>
      </c>
      <c r="B135" s="1" t="n">
        <v>-0.0586</v>
      </c>
      <c r="C135" s="1" t="n">
        <v>-0.0262</v>
      </c>
      <c r="D135" s="1" t="n">
        <v>-0.0825</v>
      </c>
      <c r="E135" s="1" t="n">
        <v>-0.0541</v>
      </c>
      <c r="F135" s="1" t="n">
        <v>-0.0611</v>
      </c>
      <c r="G135" s="1" t="n">
        <v>-0.0223435</v>
      </c>
      <c r="H135" s="1" t="n">
        <v>-0.0828625</v>
      </c>
      <c r="J135" s="1" t="n">
        <f aca="false">C135-D135</f>
        <v>0.0563</v>
      </c>
      <c r="K135" s="1" t="n">
        <f aca="false">G135-H135</f>
        <v>0.060519</v>
      </c>
    </row>
    <row r="136" customFormat="false" ht="13.8" hidden="false" customHeight="false" outlineLevel="0" collapsed="false">
      <c r="A136" s="5" t="n">
        <v>30011</v>
      </c>
      <c r="B136" s="1" t="n">
        <v>-0.0187</v>
      </c>
      <c r="C136" s="1" t="n">
        <v>0.0085</v>
      </c>
      <c r="D136" s="1" t="n">
        <v>-0.0297</v>
      </c>
      <c r="E136" s="1" t="n">
        <v>-0.0203</v>
      </c>
      <c r="F136" s="1" t="n">
        <v>-0.0187</v>
      </c>
      <c r="G136" s="1" t="n">
        <v>0.0072185</v>
      </c>
      <c r="H136" s="1" t="n">
        <v>-0.030908</v>
      </c>
      <c r="J136" s="1" t="n">
        <f aca="false">C136-D136</f>
        <v>0.0382</v>
      </c>
      <c r="K136" s="1" t="n">
        <f aca="false">G136-H136</f>
        <v>0.0381265</v>
      </c>
    </row>
    <row r="137" customFormat="false" ht="13.8" hidden="false" customHeight="false" outlineLevel="0" collapsed="false">
      <c r="A137" s="5" t="n">
        <v>30042</v>
      </c>
      <c r="B137" s="1" t="n">
        <v>0.0327</v>
      </c>
      <c r="C137" s="1" t="n">
        <v>0.017</v>
      </c>
      <c r="D137" s="1" t="n">
        <v>0.0468</v>
      </c>
      <c r="E137" s="1" t="n">
        <v>0.0415</v>
      </c>
      <c r="F137" s="1" t="n">
        <v>0.0305</v>
      </c>
      <c r="G137" s="1" t="n">
        <v>0.0222315</v>
      </c>
      <c r="H137" s="1" t="n">
        <v>0.049183</v>
      </c>
      <c r="J137" s="1" t="n">
        <f aca="false">C137-D137</f>
        <v>-0.0298</v>
      </c>
      <c r="K137" s="1" t="n">
        <f aca="false">G137-H137</f>
        <v>-0.0269515</v>
      </c>
    </row>
    <row r="138" customFormat="false" ht="13.8" hidden="false" customHeight="false" outlineLevel="0" collapsed="false">
      <c r="A138" s="5" t="n">
        <v>30072</v>
      </c>
      <c r="B138" s="1" t="n">
        <v>-0.0399</v>
      </c>
      <c r="C138" s="1" t="n">
        <v>-0.0327</v>
      </c>
      <c r="D138" s="1" t="n">
        <v>-0.0454</v>
      </c>
      <c r="E138" s="1" t="n">
        <v>-0.0313</v>
      </c>
      <c r="F138" s="1" t="n">
        <v>-0.0387</v>
      </c>
      <c r="G138" s="1" t="n">
        <v>-0.0277355</v>
      </c>
      <c r="H138" s="1" t="n">
        <v>-0.0452495</v>
      </c>
      <c r="J138" s="1" t="n">
        <f aca="false">C138-D138</f>
        <v>0.0127</v>
      </c>
      <c r="K138" s="1" t="n">
        <f aca="false">G138-H138</f>
        <v>0.017514</v>
      </c>
    </row>
    <row r="139" customFormat="false" ht="13.8" hidden="false" customHeight="false" outlineLevel="0" collapsed="false">
      <c r="A139" s="5" t="n">
        <v>30103</v>
      </c>
      <c r="B139" s="1" t="n">
        <v>-0.0309</v>
      </c>
      <c r="C139" s="1" t="n">
        <v>-0.0261</v>
      </c>
      <c r="D139" s="1" t="n">
        <v>-0.0361</v>
      </c>
      <c r="E139" s="1" t="n">
        <v>-0.0386</v>
      </c>
      <c r="F139" s="1" t="n">
        <v>-0.0292</v>
      </c>
      <c r="G139" s="1" t="n">
        <v>-0.0248895</v>
      </c>
      <c r="H139" s="1" t="n">
        <v>-0.040148</v>
      </c>
      <c r="J139" s="1" t="n">
        <f aca="false">C139-D139</f>
        <v>0.01</v>
      </c>
      <c r="K139" s="1" t="n">
        <f aca="false">G139-H139</f>
        <v>0.0152585</v>
      </c>
    </row>
    <row r="140" customFormat="false" ht="13.8" hidden="false" customHeight="false" outlineLevel="0" collapsed="false">
      <c r="A140" s="5" t="n">
        <v>30133</v>
      </c>
      <c r="B140" s="1" t="n">
        <v>-0.0319</v>
      </c>
      <c r="C140" s="1" t="n">
        <v>-0.0266</v>
      </c>
      <c r="D140" s="1" t="n">
        <v>-0.0192</v>
      </c>
      <c r="E140" s="1" t="n">
        <v>-0.0297</v>
      </c>
      <c r="F140" s="1" t="n">
        <v>-0.0332</v>
      </c>
      <c r="G140" s="1" t="n">
        <v>-0.024229</v>
      </c>
      <c r="H140" s="1" t="n">
        <v>-0.025104</v>
      </c>
      <c r="J140" s="1" t="n">
        <f aca="false">C140-D140</f>
        <v>-0.0074</v>
      </c>
      <c r="K140" s="1" t="n">
        <f aca="false">G140-H140</f>
        <v>0.000875000000000001</v>
      </c>
    </row>
    <row r="141" customFormat="false" ht="13.8" hidden="false" customHeight="false" outlineLevel="0" collapsed="false">
      <c r="A141" s="5" t="n">
        <v>30164</v>
      </c>
      <c r="B141" s="1" t="n">
        <v>0.1114</v>
      </c>
      <c r="C141" s="1" t="n">
        <v>0.1192</v>
      </c>
      <c r="D141" s="1" t="n">
        <v>0.1015</v>
      </c>
      <c r="E141" s="1" t="n">
        <v>0.0538</v>
      </c>
      <c r="F141" s="1" t="n">
        <v>0.1187</v>
      </c>
      <c r="G141" s="1" t="n">
        <v>0.099577</v>
      </c>
      <c r="H141" s="1" t="n">
        <v>0.0901085</v>
      </c>
      <c r="J141" s="1" t="n">
        <f aca="false">C141-D141</f>
        <v>0.0177</v>
      </c>
      <c r="K141" s="1" t="n">
        <f aca="false">G141-H141</f>
        <v>0.0094685</v>
      </c>
    </row>
    <row r="142" customFormat="false" ht="13.8" hidden="false" customHeight="false" outlineLevel="0" collapsed="false">
      <c r="A142" s="5" t="n">
        <v>30195</v>
      </c>
      <c r="B142" s="1" t="n">
        <v>0.0129</v>
      </c>
      <c r="C142" s="1" t="n">
        <v>0.0014</v>
      </c>
      <c r="D142" s="1" t="n">
        <v>0.0157</v>
      </c>
      <c r="E142" s="1" t="n">
        <v>0.0328</v>
      </c>
      <c r="F142" s="1" t="n">
        <v>0.0074</v>
      </c>
      <c r="G142" s="1" t="n">
        <v>0.0213835</v>
      </c>
      <c r="H142" s="1" t="n">
        <v>0.0185895</v>
      </c>
      <c r="J142" s="1" t="n">
        <f aca="false">C142-D142</f>
        <v>-0.0143</v>
      </c>
      <c r="K142" s="1" t="n">
        <f aca="false">G142-H142</f>
        <v>0.002794</v>
      </c>
    </row>
    <row r="143" customFormat="false" ht="13.8" hidden="false" customHeight="false" outlineLevel="0" collapsed="false">
      <c r="A143" s="5" t="n">
        <v>30225</v>
      </c>
      <c r="B143" s="1" t="n">
        <v>0.113</v>
      </c>
      <c r="C143" s="1" t="n">
        <v>0.0935</v>
      </c>
      <c r="D143" s="1" t="n">
        <v>0.1266</v>
      </c>
      <c r="E143" s="1" t="n">
        <v>0.1355</v>
      </c>
      <c r="F143" s="1" t="n">
        <v>0.1042</v>
      </c>
      <c r="G143" s="1" t="n">
        <v>0.101005</v>
      </c>
      <c r="H143" s="1" t="n">
        <v>0.1376365</v>
      </c>
      <c r="J143" s="1" t="n">
        <f aca="false">C143-D143</f>
        <v>-0.0331</v>
      </c>
      <c r="K143" s="1" t="n">
        <f aca="false">G143-H143</f>
        <v>-0.0366315</v>
      </c>
    </row>
    <row r="144" customFormat="false" ht="13.8" hidden="false" customHeight="false" outlineLevel="0" collapsed="false">
      <c r="A144" s="5" t="n">
        <v>30256</v>
      </c>
      <c r="B144" s="1" t="n">
        <v>0.0467</v>
      </c>
      <c r="C144" s="1" t="n">
        <v>0.04</v>
      </c>
      <c r="D144" s="1" t="n">
        <v>0.0686</v>
      </c>
      <c r="E144" s="1" t="n">
        <v>0.0886</v>
      </c>
      <c r="F144" s="1" t="n">
        <v>0.0357</v>
      </c>
      <c r="G144" s="1" t="n">
        <v>0.059541</v>
      </c>
      <c r="H144" s="1" t="n">
        <v>0.0782585</v>
      </c>
      <c r="J144" s="1" t="n">
        <f aca="false">C144-D144</f>
        <v>-0.0286</v>
      </c>
      <c r="K144" s="1" t="n">
        <f aca="false">G144-H144</f>
        <v>-0.0187175</v>
      </c>
    </row>
    <row r="145" customFormat="false" ht="13.8" hidden="false" customHeight="false" outlineLevel="0" collapsed="false">
      <c r="A145" s="5" t="n">
        <v>30286</v>
      </c>
      <c r="B145" s="1" t="n">
        <v>0.0055</v>
      </c>
      <c r="C145" s="1" t="n">
        <v>0.0082</v>
      </c>
      <c r="D145" s="1" t="n">
        <v>0.0048</v>
      </c>
      <c r="E145" s="1" t="n">
        <v>0.0092</v>
      </c>
      <c r="F145" s="1" t="n">
        <v>0.0067</v>
      </c>
      <c r="G145" s="1" t="n">
        <v>0.005142</v>
      </c>
      <c r="H145" s="1" t="n">
        <v>0.0053675</v>
      </c>
      <c r="J145" s="1" t="n">
        <f aca="false">C145-D145</f>
        <v>0.0034</v>
      </c>
      <c r="K145" s="1" t="n">
        <f aca="false">G145-H145</f>
        <v>-0.0002255</v>
      </c>
    </row>
    <row r="146" customFormat="false" ht="13.8" hidden="false" customHeight="false" outlineLevel="0" collapsed="false">
      <c r="A146" s="5" t="n">
        <v>30317</v>
      </c>
      <c r="B146" s="1" t="n">
        <v>0.036</v>
      </c>
      <c r="C146" s="1" t="n">
        <v>0.0507</v>
      </c>
      <c r="D146" s="1" t="n">
        <v>0.0303</v>
      </c>
      <c r="E146" s="1" t="n">
        <v>0.0814</v>
      </c>
      <c r="F146" s="1" t="n">
        <v>0.0295</v>
      </c>
      <c r="G146" s="1" t="n">
        <v>0.047268</v>
      </c>
      <c r="H146" s="1" t="n">
        <v>0.0547595</v>
      </c>
      <c r="J146" s="1" t="n">
        <f aca="false">C146-D146</f>
        <v>0.0204</v>
      </c>
      <c r="K146" s="1" t="n">
        <f aca="false">G146-H146</f>
        <v>-0.00749150000000001</v>
      </c>
    </row>
    <row r="147" customFormat="false" ht="13.8" hidden="false" customHeight="false" outlineLevel="0" collapsed="false">
      <c r="A147" s="5" t="n">
        <v>30348</v>
      </c>
      <c r="B147" s="1" t="n">
        <v>0.0259</v>
      </c>
      <c r="C147" s="1" t="n">
        <v>0.0225</v>
      </c>
      <c r="D147" s="1" t="n">
        <v>0.0314</v>
      </c>
      <c r="E147" s="1" t="n">
        <v>0.051</v>
      </c>
      <c r="F147" s="1" t="n">
        <v>0.0196</v>
      </c>
      <c r="G147" s="1" t="n">
        <v>0.040716</v>
      </c>
      <c r="H147" s="1" t="n">
        <v>0.033713</v>
      </c>
      <c r="J147" s="1" t="n">
        <f aca="false">C147-D147</f>
        <v>-0.0089</v>
      </c>
      <c r="K147" s="1" t="n">
        <f aca="false">G147-H147</f>
        <v>0.007003</v>
      </c>
    </row>
    <row r="148" customFormat="false" ht="13.8" hidden="false" customHeight="false" outlineLevel="0" collapsed="false">
      <c r="A148" s="5" t="n">
        <v>30376</v>
      </c>
      <c r="B148" s="1" t="n">
        <v>0.0282</v>
      </c>
      <c r="C148" s="1" t="n">
        <v>0.028</v>
      </c>
      <c r="D148" s="1" t="n">
        <v>0.0189</v>
      </c>
      <c r="E148" s="1" t="n">
        <v>0.043</v>
      </c>
      <c r="F148" s="1" t="n">
        <v>0.0256</v>
      </c>
      <c r="G148" s="1" t="n">
        <v>0.039352</v>
      </c>
      <c r="H148" s="1" t="n">
        <v>0.0191585</v>
      </c>
      <c r="J148" s="1" t="n">
        <f aca="false">C148-D148</f>
        <v>0.0091</v>
      </c>
      <c r="K148" s="1" t="n">
        <f aca="false">G148-H148</f>
        <v>0.0201935</v>
      </c>
    </row>
    <row r="149" customFormat="false" ht="13.8" hidden="false" customHeight="false" outlineLevel="0" collapsed="false">
      <c r="A149" s="5" t="n">
        <v>30407</v>
      </c>
      <c r="B149" s="1" t="n">
        <v>0.0667</v>
      </c>
      <c r="C149" s="1" t="n">
        <v>0.0647</v>
      </c>
      <c r="D149" s="1" t="n">
        <v>0.0533</v>
      </c>
      <c r="E149" s="1" t="n">
        <v>0.0722</v>
      </c>
      <c r="F149" s="1" t="n">
        <v>0.0664</v>
      </c>
      <c r="G149" s="1" t="n">
        <v>0.0661725</v>
      </c>
      <c r="H149" s="1" t="n">
        <v>0.061294</v>
      </c>
      <c r="J149" s="1" t="n">
        <f aca="false">C149-D149</f>
        <v>0.0114</v>
      </c>
      <c r="K149" s="1" t="n">
        <f aca="false">G149-H149</f>
        <v>0.00487849999999999</v>
      </c>
    </row>
    <row r="150" customFormat="false" ht="13.8" hidden="false" customHeight="false" outlineLevel="0" collapsed="false">
      <c r="A150" s="5" t="n">
        <v>30437</v>
      </c>
      <c r="B150" s="1" t="n">
        <v>0.0052</v>
      </c>
      <c r="C150" s="1" t="n">
        <v>-0.000399999999999999</v>
      </c>
      <c r="D150" s="1" t="n">
        <v>0.0041</v>
      </c>
      <c r="E150" s="1" t="n">
        <v>0.0783</v>
      </c>
      <c r="F150" s="1" t="n">
        <v>-0.0126</v>
      </c>
      <c r="G150" s="1" t="n">
        <v>0.018268</v>
      </c>
      <c r="H150" s="1" t="n">
        <v>0.0322655</v>
      </c>
      <c r="J150" s="1" t="n">
        <f aca="false">C150-D150</f>
        <v>-0.0045</v>
      </c>
      <c r="K150" s="1" t="n">
        <f aca="false">G150-H150</f>
        <v>-0.0139975</v>
      </c>
    </row>
    <row r="151" customFormat="false" ht="13.8" hidden="false" customHeight="false" outlineLevel="0" collapsed="false">
      <c r="A151" s="5" t="n">
        <v>30468</v>
      </c>
      <c r="B151" s="1" t="n">
        <v>0.0307</v>
      </c>
      <c r="C151" s="1" t="n">
        <v>0.0035</v>
      </c>
      <c r="D151" s="1" t="n">
        <v>0.0469</v>
      </c>
      <c r="E151" s="1" t="n">
        <v>0.0363</v>
      </c>
      <c r="F151" s="1" t="n">
        <v>0.0294</v>
      </c>
      <c r="G151" s="1" t="n">
        <v>0.0094415</v>
      </c>
      <c r="H151" s="1" t="n">
        <v>0.048449</v>
      </c>
      <c r="J151" s="1" t="n">
        <f aca="false">C151-D151</f>
        <v>-0.0434</v>
      </c>
      <c r="K151" s="1" t="n">
        <f aca="false">G151-H151</f>
        <v>-0.0390075</v>
      </c>
    </row>
    <row r="152" customFormat="false" ht="13.8" hidden="false" customHeight="false" outlineLevel="0" collapsed="false">
      <c r="A152" s="5" t="n">
        <v>30498</v>
      </c>
      <c r="B152" s="1" t="n">
        <v>-0.0407</v>
      </c>
      <c r="C152" s="1" t="n">
        <v>-0.0154</v>
      </c>
      <c r="D152" s="1" t="n">
        <v>-0.0604</v>
      </c>
      <c r="E152" s="1" t="n">
        <v>-0.0292</v>
      </c>
      <c r="F152" s="1" t="n">
        <v>-0.0421</v>
      </c>
      <c r="G152" s="1" t="n">
        <v>-0.006398</v>
      </c>
      <c r="H152" s="1" t="n">
        <v>-0.0626045</v>
      </c>
      <c r="J152" s="1" t="n">
        <f aca="false">C152-D152</f>
        <v>0.045</v>
      </c>
      <c r="K152" s="1" t="n">
        <f aca="false">G152-H152</f>
        <v>0.0562065</v>
      </c>
    </row>
    <row r="153" customFormat="false" ht="13.8" hidden="false" customHeight="false" outlineLevel="0" collapsed="false">
      <c r="A153" s="5" t="n">
        <v>30529</v>
      </c>
      <c r="B153" s="1" t="n">
        <v>-0.005</v>
      </c>
      <c r="C153" s="1" t="n">
        <v>0.0377</v>
      </c>
      <c r="D153" s="1" t="n">
        <v>-0.0263</v>
      </c>
      <c r="E153" s="1" t="n">
        <v>-0.043</v>
      </c>
      <c r="F153" s="1" t="n">
        <v>0.007</v>
      </c>
      <c r="G153" s="1" t="n">
        <v>0.017264</v>
      </c>
      <c r="H153" s="1" t="n">
        <v>-0.0381345</v>
      </c>
      <c r="J153" s="1" t="n">
        <f aca="false">C153-D153</f>
        <v>0.064</v>
      </c>
      <c r="K153" s="1" t="n">
        <f aca="false">G153-H153</f>
        <v>0.0553985</v>
      </c>
    </row>
    <row r="154" customFormat="false" ht="13.8" hidden="false" customHeight="false" outlineLevel="0" collapsed="false">
      <c r="A154" s="5" t="n">
        <v>30560</v>
      </c>
      <c r="B154" s="1" t="n">
        <v>0.0091</v>
      </c>
      <c r="C154" s="1" t="n">
        <v>0.0044</v>
      </c>
      <c r="D154" s="1" t="n">
        <v>0.014</v>
      </c>
      <c r="E154" s="1" t="n">
        <v>-0.0001</v>
      </c>
      <c r="F154" s="1" t="n">
        <v>0.0063</v>
      </c>
      <c r="G154" s="1" t="n">
        <v>0.0161505</v>
      </c>
      <c r="H154" s="1" t="n">
        <v>0.0060265</v>
      </c>
      <c r="J154" s="1" t="n">
        <f aca="false">C154-D154</f>
        <v>-0.0096</v>
      </c>
      <c r="K154" s="1" t="n">
        <f aca="false">G154-H154</f>
        <v>0.010124</v>
      </c>
    </row>
    <row r="155" customFormat="false" ht="13.8" hidden="false" customHeight="false" outlineLevel="0" collapsed="false">
      <c r="A155" s="5" t="n">
        <v>30590</v>
      </c>
      <c r="B155" s="1" t="n">
        <v>-0.0344</v>
      </c>
      <c r="C155" s="1" t="n">
        <v>-0.0137</v>
      </c>
      <c r="D155" s="1" t="n">
        <v>-0.0516</v>
      </c>
      <c r="E155" s="1" t="n">
        <v>-0.0677</v>
      </c>
      <c r="F155" s="1" t="n">
        <v>-0.0235</v>
      </c>
      <c r="G155" s="1" t="n">
        <v>-0.020556</v>
      </c>
      <c r="H155" s="1" t="n">
        <v>-0.0702325</v>
      </c>
      <c r="J155" s="1" t="n">
        <f aca="false">C155-D155</f>
        <v>0.0379</v>
      </c>
      <c r="K155" s="1" t="n">
        <f aca="false">G155-H155</f>
        <v>0.0496765</v>
      </c>
    </row>
    <row r="156" customFormat="false" ht="13.8" hidden="false" customHeight="false" outlineLevel="0" collapsed="false">
      <c r="A156" s="5" t="n">
        <v>30621</v>
      </c>
      <c r="B156" s="1" t="n">
        <v>0.0216</v>
      </c>
      <c r="C156" s="1" t="n">
        <v>0.0151</v>
      </c>
      <c r="D156" s="1" t="n">
        <v>0.0249</v>
      </c>
      <c r="E156" s="1" t="n">
        <v>0.0274</v>
      </c>
      <c r="F156" s="1" t="n">
        <v>0.0151</v>
      </c>
      <c r="G156" s="1" t="n">
        <v>0.024123</v>
      </c>
      <c r="H156" s="1" t="n">
        <v>0.031297</v>
      </c>
      <c r="J156" s="1" t="n">
        <f aca="false">C156-D156</f>
        <v>-0.0098</v>
      </c>
      <c r="K156" s="1" t="n">
        <f aca="false">G156-H156</f>
        <v>-0.007174</v>
      </c>
    </row>
    <row r="157" customFormat="false" ht="13.8" hidden="false" customHeight="false" outlineLevel="0" collapsed="false">
      <c r="A157" s="5" t="n">
        <v>30651</v>
      </c>
      <c r="B157" s="1" t="n">
        <v>-0.0178</v>
      </c>
      <c r="C157" s="1" t="n">
        <v>-0.013</v>
      </c>
      <c r="D157" s="1" t="n">
        <v>-0.0185</v>
      </c>
      <c r="E157" s="1" t="n">
        <v>-0.0218</v>
      </c>
      <c r="F157" s="1" t="n">
        <v>-0.0143</v>
      </c>
      <c r="G157" s="1" t="n">
        <v>-0.009729</v>
      </c>
      <c r="H157" s="1" t="n">
        <v>-0.0270355</v>
      </c>
      <c r="J157" s="1" t="n">
        <f aca="false">C157-D157</f>
        <v>0.0055</v>
      </c>
      <c r="K157" s="1" t="n">
        <f aca="false">G157-H157</f>
        <v>0.0173065</v>
      </c>
    </row>
    <row r="158" customFormat="false" ht="13.8" hidden="false" customHeight="false" outlineLevel="0" collapsed="false">
      <c r="A158" s="5" t="n">
        <v>30682</v>
      </c>
      <c r="B158" s="1" t="n">
        <v>-0.0192</v>
      </c>
      <c r="C158" s="1" t="n">
        <v>0.0263</v>
      </c>
      <c r="D158" s="1" t="n">
        <v>-0.0592</v>
      </c>
      <c r="E158" s="1" t="n">
        <v>-0.012</v>
      </c>
      <c r="F158" s="1" t="n">
        <v>-0.0138</v>
      </c>
      <c r="G158" s="1" t="n">
        <v>0.020792</v>
      </c>
      <c r="H158" s="1" t="n">
        <v>-0.0550345</v>
      </c>
      <c r="J158" s="1" t="n">
        <f aca="false">C158-D158</f>
        <v>0.0855</v>
      </c>
      <c r="K158" s="1" t="n">
        <f aca="false">G158-H158</f>
        <v>0.0758265</v>
      </c>
    </row>
    <row r="159" customFormat="false" ht="13.8" hidden="false" customHeight="false" outlineLevel="0" collapsed="false">
      <c r="A159" s="5" t="n">
        <v>30713</v>
      </c>
      <c r="B159" s="1" t="n">
        <v>-0.0482</v>
      </c>
      <c r="C159" s="1" t="n">
        <v>-0.0251</v>
      </c>
      <c r="D159" s="1" t="n">
        <v>-0.058</v>
      </c>
      <c r="E159" s="1" t="n">
        <v>-0.0617</v>
      </c>
      <c r="F159" s="1" t="n">
        <v>-0.0412</v>
      </c>
      <c r="G159" s="1" t="n">
        <v>-0.032491</v>
      </c>
      <c r="H159" s="1" t="n">
        <v>-0.06581</v>
      </c>
      <c r="J159" s="1" t="n">
        <f aca="false">C159-D159</f>
        <v>0.0329</v>
      </c>
      <c r="K159" s="1" t="n">
        <f aca="false">G159-H159</f>
        <v>0.033319</v>
      </c>
    </row>
    <row r="160" customFormat="false" ht="13.8" hidden="false" customHeight="false" outlineLevel="0" collapsed="false">
      <c r="A160" s="5" t="n">
        <v>30742</v>
      </c>
      <c r="B160" s="1" t="n">
        <v>0.0063</v>
      </c>
      <c r="C160" s="1" t="n">
        <v>-0.0007</v>
      </c>
      <c r="D160" s="1" t="n">
        <v>0.0069</v>
      </c>
      <c r="E160" s="1" t="n">
        <v>0.001</v>
      </c>
      <c r="F160" s="1" t="n">
        <v>0.0045</v>
      </c>
      <c r="G160" s="1" t="n">
        <v>0.006142</v>
      </c>
      <c r="H160" s="1" t="n">
        <v>0.0015735</v>
      </c>
      <c r="J160" s="1" t="n">
        <f aca="false">C160-D160</f>
        <v>-0.0076</v>
      </c>
      <c r="K160" s="1" t="n">
        <f aca="false">G160-H160</f>
        <v>0.0045685</v>
      </c>
    </row>
    <row r="161" customFormat="false" ht="13.8" hidden="false" customHeight="false" outlineLevel="0" collapsed="false">
      <c r="A161" s="5" t="n">
        <v>30773</v>
      </c>
      <c r="B161" s="1" t="n">
        <v>-0.0051</v>
      </c>
      <c r="C161" s="1" t="n">
        <v>0.0068</v>
      </c>
      <c r="D161" s="1" t="n">
        <v>-0.0062</v>
      </c>
      <c r="E161" s="1" t="n">
        <v>-0.0207</v>
      </c>
      <c r="F161" s="1" t="n">
        <v>-0.000299999999999999</v>
      </c>
      <c r="G161" s="1" t="n">
        <v>0.0003695</v>
      </c>
      <c r="H161" s="1" t="n">
        <v>-0.011654</v>
      </c>
      <c r="J161" s="1" t="n">
        <f aca="false">C161-D161</f>
        <v>0.013</v>
      </c>
      <c r="K161" s="1" t="n">
        <f aca="false">G161-H161</f>
        <v>0.0120235</v>
      </c>
    </row>
    <row r="162" customFormat="false" ht="13.8" hidden="false" customHeight="false" outlineLevel="0" collapsed="false">
      <c r="A162" s="5" t="n">
        <v>30803</v>
      </c>
      <c r="B162" s="1" t="n">
        <v>-0.0597</v>
      </c>
      <c r="C162" s="1" t="n">
        <v>-0.0645</v>
      </c>
      <c r="D162" s="1" t="n">
        <v>-0.0576</v>
      </c>
      <c r="E162" s="1" t="n">
        <v>-0.0572</v>
      </c>
      <c r="F162" s="1" t="n">
        <v>-0.0584</v>
      </c>
      <c r="G162" s="1" t="n">
        <v>-0.058606</v>
      </c>
      <c r="H162" s="1" t="n">
        <v>-0.061736</v>
      </c>
      <c r="J162" s="1" t="n">
        <f aca="false">C162-D162</f>
        <v>-0.0069</v>
      </c>
      <c r="K162" s="1" t="n">
        <f aca="false">G162-H162</f>
        <v>0.00313</v>
      </c>
    </row>
    <row r="163" customFormat="false" ht="13.8" hidden="false" customHeight="false" outlineLevel="0" collapsed="false">
      <c r="A163" s="5" t="n">
        <v>30834</v>
      </c>
      <c r="B163" s="1" t="n">
        <v>0.0182</v>
      </c>
      <c r="C163" s="1" t="n">
        <v>0.017</v>
      </c>
      <c r="D163" s="1" t="n">
        <v>0.0369</v>
      </c>
      <c r="E163" s="1" t="n">
        <v>0.0129</v>
      </c>
      <c r="F163" s="1" t="n">
        <v>0.0211</v>
      </c>
      <c r="G163" s="1" t="n">
        <v>0.0109145</v>
      </c>
      <c r="H163" s="1" t="n">
        <v>0.0374955</v>
      </c>
      <c r="J163" s="1" t="n">
        <f aca="false">C163-D163</f>
        <v>-0.0199</v>
      </c>
      <c r="K163" s="1" t="n">
        <f aca="false">G163-H163</f>
        <v>-0.026581</v>
      </c>
    </row>
    <row r="164" customFormat="false" ht="13.8" hidden="false" customHeight="false" outlineLevel="0" collapsed="false">
      <c r="A164" s="5" t="n">
        <v>30864</v>
      </c>
      <c r="B164" s="1" t="n">
        <v>-0.0274</v>
      </c>
      <c r="C164" s="1" t="n">
        <v>-0.0331</v>
      </c>
      <c r="D164" s="1" t="n">
        <v>-0.0265</v>
      </c>
      <c r="E164" s="1" t="n">
        <v>-0.0562</v>
      </c>
      <c r="F164" s="1" t="n">
        <v>-0.0193</v>
      </c>
      <c r="G164" s="1" t="n">
        <v>-0.036809</v>
      </c>
      <c r="H164" s="1" t="n">
        <v>-0.040414</v>
      </c>
      <c r="J164" s="1" t="n">
        <f aca="false">C164-D164</f>
        <v>-0.0066</v>
      </c>
      <c r="K164" s="1" t="n">
        <f aca="false">G164-H164</f>
        <v>0.003605</v>
      </c>
    </row>
    <row r="165" customFormat="false" ht="13.8" hidden="false" customHeight="false" outlineLevel="0" collapsed="false">
      <c r="A165" s="5" t="n">
        <v>30895</v>
      </c>
      <c r="B165" s="1" t="n">
        <v>0.1028</v>
      </c>
      <c r="C165" s="1" t="n">
        <v>0.1046</v>
      </c>
      <c r="D165" s="1" t="n">
        <v>0.1073</v>
      </c>
      <c r="E165" s="1" t="n">
        <v>0.0921</v>
      </c>
      <c r="F165" s="1" t="n">
        <v>0.1015</v>
      </c>
      <c r="G165" s="1" t="n">
        <v>0.096591</v>
      </c>
      <c r="H165" s="1" t="n">
        <v>0.1147905</v>
      </c>
      <c r="J165" s="1" t="n">
        <f aca="false">C165-D165</f>
        <v>-0.00270000000000001</v>
      </c>
      <c r="K165" s="1" t="n">
        <f aca="false">G165-H165</f>
        <v>-0.0181995</v>
      </c>
    </row>
    <row r="166" customFormat="false" ht="13.8" hidden="false" customHeight="false" outlineLevel="0" collapsed="false">
      <c r="A166" s="5" t="n">
        <v>30926</v>
      </c>
      <c r="B166" s="1" t="n">
        <v>-0.008</v>
      </c>
      <c r="C166" s="1" t="n">
        <v>0.0225</v>
      </c>
      <c r="D166" s="1" t="n">
        <v>-0.033</v>
      </c>
      <c r="E166" s="1" t="n">
        <v>-0.0128</v>
      </c>
      <c r="F166" s="1" t="n">
        <v>-0.0071</v>
      </c>
      <c r="G166" s="1" t="n">
        <v>0.01857</v>
      </c>
      <c r="H166" s="1" t="n">
        <v>-0.0342045</v>
      </c>
      <c r="J166" s="1" t="n">
        <f aca="false">C166-D166</f>
        <v>0.0555</v>
      </c>
      <c r="K166" s="1" t="n">
        <f aca="false">G166-H166</f>
        <v>0.0527745</v>
      </c>
    </row>
    <row r="167" customFormat="false" ht="13.8" hidden="false" customHeight="false" outlineLevel="0" collapsed="false">
      <c r="A167" s="5" t="n">
        <v>30956</v>
      </c>
      <c r="B167" s="1" t="n">
        <v>-0.0084</v>
      </c>
      <c r="C167" s="1" t="n">
        <v>-0.0147</v>
      </c>
      <c r="D167" s="1" t="n">
        <v>-0.0082</v>
      </c>
      <c r="E167" s="1" t="n">
        <v>-0.028</v>
      </c>
      <c r="F167" s="1" t="n">
        <v>-0.0039</v>
      </c>
      <c r="G167" s="1" t="n">
        <v>-0.0129455</v>
      </c>
      <c r="H167" s="1" t="n">
        <v>-0.0174285</v>
      </c>
      <c r="J167" s="1" t="n">
        <f aca="false">C167-D167</f>
        <v>-0.0065</v>
      </c>
      <c r="K167" s="1" t="n">
        <f aca="false">G167-H167</f>
        <v>0.004483</v>
      </c>
    </row>
    <row r="168" customFormat="false" ht="13.8" hidden="false" customHeight="false" outlineLevel="0" collapsed="false">
      <c r="A168" s="5" t="n">
        <v>30987</v>
      </c>
      <c r="B168" s="1" t="n">
        <v>-0.0176</v>
      </c>
      <c r="C168" s="1" t="n">
        <v>0.0021</v>
      </c>
      <c r="D168" s="1" t="n">
        <v>-0.0338</v>
      </c>
      <c r="E168" s="1" t="n">
        <v>-0.0347</v>
      </c>
      <c r="F168" s="1" t="n">
        <v>-0.0159</v>
      </c>
      <c r="G168" s="1" t="n">
        <v>-0.0003215</v>
      </c>
      <c r="H168" s="1" t="n">
        <v>-0.0409605</v>
      </c>
      <c r="J168" s="1" t="n">
        <f aca="false">C168-D168</f>
        <v>0.0359</v>
      </c>
      <c r="K168" s="1" t="n">
        <f aca="false">G168-H168</f>
        <v>0.040639</v>
      </c>
    </row>
    <row r="169" customFormat="false" ht="13.8" hidden="false" customHeight="false" outlineLevel="0" collapsed="false">
      <c r="A169" s="5" t="n">
        <v>31017</v>
      </c>
      <c r="B169" s="1" t="n">
        <v>0.0184</v>
      </c>
      <c r="C169" s="1" t="n">
        <v>0.0156</v>
      </c>
      <c r="D169" s="1" t="n">
        <v>0.0195</v>
      </c>
      <c r="E169" s="1" t="n">
        <v>0.0072</v>
      </c>
      <c r="F169" s="1" t="n">
        <v>0.02</v>
      </c>
      <c r="G169" s="1" t="n">
        <v>0.0151375</v>
      </c>
      <c r="H169" s="1" t="n">
        <v>0.0177715</v>
      </c>
      <c r="J169" s="1" t="n">
        <f aca="false">C169-D169</f>
        <v>-0.0039</v>
      </c>
      <c r="K169" s="1" t="n">
        <f aca="false">G169-H169</f>
        <v>-0.002634</v>
      </c>
    </row>
    <row r="170" customFormat="false" ht="13.8" hidden="false" customHeight="false" outlineLevel="0" collapsed="false">
      <c r="A170" s="5" t="n">
        <v>31048</v>
      </c>
      <c r="B170" s="1" t="n">
        <v>0.0799</v>
      </c>
      <c r="C170" s="1" t="n">
        <v>0.053</v>
      </c>
      <c r="D170" s="1" t="n">
        <v>0.1035</v>
      </c>
      <c r="E170" s="1" t="n">
        <v>0.1215</v>
      </c>
      <c r="F170" s="1" t="n">
        <v>0.0687</v>
      </c>
      <c r="G170" s="1" t="n">
        <v>0.0657355</v>
      </c>
      <c r="H170" s="1" t="n">
        <v>0.119217</v>
      </c>
      <c r="J170" s="1" t="n">
        <f aca="false">C170-D170</f>
        <v>-0.0505</v>
      </c>
      <c r="K170" s="1" t="n">
        <f aca="false">G170-H170</f>
        <v>-0.0534815</v>
      </c>
    </row>
    <row r="171" customFormat="false" ht="13.8" hidden="false" customHeight="false" outlineLevel="0" collapsed="false">
      <c r="A171" s="5" t="n">
        <v>31079</v>
      </c>
      <c r="B171" s="1" t="n">
        <v>0.0122</v>
      </c>
      <c r="C171" s="1" t="n">
        <v>0.0163</v>
      </c>
      <c r="D171" s="1" t="n">
        <v>0.0102</v>
      </c>
      <c r="E171" s="1" t="n">
        <v>0.0262</v>
      </c>
      <c r="F171" s="1" t="n">
        <v>0.0115</v>
      </c>
      <c r="G171" s="1" t="n">
        <v>0.0144685</v>
      </c>
      <c r="H171" s="1" t="n">
        <v>0.015472</v>
      </c>
      <c r="J171" s="1" t="n">
        <f aca="false">C171-D171</f>
        <v>0.0061</v>
      </c>
      <c r="K171" s="1" t="n">
        <f aca="false">G171-H171</f>
        <v>-0.0010035</v>
      </c>
    </row>
    <row r="172" customFormat="false" ht="13.8" hidden="false" customHeight="false" outlineLevel="0" collapsed="false">
      <c r="A172" s="5" t="n">
        <v>31107</v>
      </c>
      <c r="B172" s="1" t="n">
        <v>-0.0084</v>
      </c>
      <c r="C172" s="1" t="n">
        <v>0.015</v>
      </c>
      <c r="D172" s="1" t="n">
        <v>-0.0229</v>
      </c>
      <c r="E172" s="1" t="n">
        <v>-0.0222</v>
      </c>
      <c r="F172" s="1" t="n">
        <v>-0.0045</v>
      </c>
      <c r="G172" s="1" t="n">
        <v>0.01175</v>
      </c>
      <c r="H172" s="1" t="n">
        <v>-0.0289905</v>
      </c>
      <c r="J172" s="1" t="n">
        <f aca="false">C172-D172</f>
        <v>0.0379</v>
      </c>
      <c r="K172" s="1" t="n">
        <f aca="false">G172-H172</f>
        <v>0.0407405</v>
      </c>
    </row>
    <row r="173" customFormat="false" ht="13.8" hidden="false" customHeight="false" outlineLevel="0" collapsed="false">
      <c r="A173" s="5" t="n">
        <v>31138</v>
      </c>
      <c r="B173" s="1" t="n">
        <v>-0.0096</v>
      </c>
      <c r="C173" s="1" t="n">
        <v>0.0119</v>
      </c>
      <c r="D173" s="1" t="n">
        <v>-0.0255</v>
      </c>
      <c r="E173" s="1" t="n">
        <v>-0.0147</v>
      </c>
      <c r="F173" s="1" t="n">
        <v>-0.0085</v>
      </c>
      <c r="G173" s="1" t="n">
        <v>0.010886</v>
      </c>
      <c r="H173" s="1" t="n">
        <v>-0.0263375</v>
      </c>
      <c r="J173" s="1" t="n">
        <f aca="false">C173-D173</f>
        <v>0.0374</v>
      </c>
      <c r="K173" s="1" t="n">
        <f aca="false">G173-H173</f>
        <v>0.0372235</v>
      </c>
    </row>
    <row r="174" customFormat="false" ht="13.8" hidden="false" customHeight="false" outlineLevel="0" collapsed="false">
      <c r="A174" s="5" t="n">
        <v>31168</v>
      </c>
      <c r="B174" s="1" t="n">
        <v>0.0509</v>
      </c>
      <c r="C174" s="1" t="n">
        <v>0.0432</v>
      </c>
      <c r="D174" s="1" t="n">
        <v>0.0515</v>
      </c>
      <c r="E174" s="1" t="n">
        <v>0.0267</v>
      </c>
      <c r="F174" s="1" t="n">
        <v>0.0562</v>
      </c>
      <c r="G174" s="1" t="n">
        <v>0.0359415</v>
      </c>
      <c r="H174" s="1" t="n">
        <v>0.045534</v>
      </c>
      <c r="J174" s="1" t="n">
        <f aca="false">C174-D174</f>
        <v>-0.0083</v>
      </c>
      <c r="K174" s="1" t="n">
        <f aca="false">G174-H174</f>
        <v>-0.0095925</v>
      </c>
    </row>
    <row r="175" customFormat="false" ht="13.8" hidden="false" customHeight="false" outlineLevel="0" collapsed="false">
      <c r="A175" s="5" t="n">
        <v>31199</v>
      </c>
      <c r="B175" s="1" t="n">
        <v>0.0127</v>
      </c>
      <c r="C175" s="1" t="n">
        <v>0.01</v>
      </c>
      <c r="D175" s="1" t="n">
        <v>0.0093</v>
      </c>
      <c r="E175" s="1" t="n">
        <v>0.0106</v>
      </c>
      <c r="F175" s="1" t="n">
        <v>0.0112</v>
      </c>
      <c r="G175" s="1" t="n">
        <v>0.0132895</v>
      </c>
      <c r="H175" s="1" t="n">
        <v>0.009472</v>
      </c>
      <c r="J175" s="1" t="n">
        <f aca="false">C175-D175</f>
        <v>0.000700000000000001</v>
      </c>
      <c r="K175" s="1" t="n">
        <f aca="false">G175-H175</f>
        <v>0.0038175</v>
      </c>
    </row>
    <row r="176" customFormat="false" ht="13.8" hidden="false" customHeight="false" outlineLevel="0" collapsed="false">
      <c r="A176" s="5" t="n">
        <v>31229</v>
      </c>
      <c r="B176" s="1" t="n">
        <v>-0.0074</v>
      </c>
      <c r="C176" s="1" t="n">
        <v>-0.0182</v>
      </c>
      <c r="D176" s="1" t="n">
        <v>-0.0003</v>
      </c>
      <c r="E176" s="1" t="n">
        <v>0.0206</v>
      </c>
      <c r="F176" s="1" t="n">
        <v>-0.0143</v>
      </c>
      <c r="G176" s="1" t="n">
        <v>-0.0077415</v>
      </c>
      <c r="H176" s="1" t="n">
        <v>0.0084735</v>
      </c>
      <c r="J176" s="1" t="n">
        <f aca="false">C176-D176</f>
        <v>-0.0179</v>
      </c>
      <c r="K176" s="1" t="n">
        <f aca="false">G176-H176</f>
        <v>-0.016215</v>
      </c>
    </row>
    <row r="177" customFormat="false" ht="13.8" hidden="false" customHeight="false" outlineLevel="0" collapsed="false">
      <c r="A177" s="5" t="n">
        <v>31260</v>
      </c>
      <c r="B177" s="1" t="n">
        <v>-0.0102</v>
      </c>
      <c r="C177" s="1" t="n">
        <v>0.0022</v>
      </c>
      <c r="D177" s="1" t="n">
        <v>-0.0212</v>
      </c>
      <c r="E177" s="1" t="n">
        <v>-0.0102</v>
      </c>
      <c r="F177" s="1" t="n">
        <v>-0.0099</v>
      </c>
      <c r="G177" s="1" t="n">
        <v>0.0001095</v>
      </c>
      <c r="H177" s="1" t="n">
        <v>-0.023061</v>
      </c>
      <c r="J177" s="1" t="n">
        <f aca="false">C177-D177</f>
        <v>0.0234</v>
      </c>
      <c r="K177" s="1" t="n">
        <f aca="false">G177-H177</f>
        <v>0.0231705</v>
      </c>
    </row>
    <row r="178" customFormat="false" ht="13.8" hidden="false" customHeight="false" outlineLevel="0" collapsed="false">
      <c r="A178" s="5" t="n">
        <v>31291</v>
      </c>
      <c r="B178" s="1" t="n">
        <v>-0.0454</v>
      </c>
      <c r="C178" s="1" t="n">
        <v>-0.0494</v>
      </c>
      <c r="D178" s="1" t="n">
        <v>-0.0497</v>
      </c>
      <c r="E178" s="1" t="n">
        <v>-0.0626</v>
      </c>
      <c r="F178" s="1" t="n">
        <v>-0.0401</v>
      </c>
      <c r="G178" s="1" t="n">
        <v>-0.0485445</v>
      </c>
      <c r="H178" s="1" t="n">
        <v>-0.061412</v>
      </c>
      <c r="J178" s="1" t="n">
        <f aca="false">C178-D178</f>
        <v>0.000300000000000002</v>
      </c>
      <c r="K178" s="1" t="n">
        <f aca="false">G178-H178</f>
        <v>0.0128675</v>
      </c>
    </row>
    <row r="179" customFormat="false" ht="13.8" hidden="false" customHeight="false" outlineLevel="0" collapsed="false">
      <c r="A179" s="5" t="n">
        <v>31321</v>
      </c>
      <c r="B179" s="1" t="n">
        <v>0.0402</v>
      </c>
      <c r="C179" s="1" t="n">
        <v>0.0463</v>
      </c>
      <c r="D179" s="1" t="n">
        <v>0.0333</v>
      </c>
      <c r="E179" s="1" t="n">
        <v>0.0226</v>
      </c>
      <c r="F179" s="1" t="n">
        <v>0.0434</v>
      </c>
      <c r="G179" s="1" t="n">
        <v>0.0378915</v>
      </c>
      <c r="H179" s="1" t="n">
        <v>0.0304105</v>
      </c>
      <c r="J179" s="1" t="n">
        <f aca="false">C179-D179</f>
        <v>0.013</v>
      </c>
      <c r="K179" s="1" t="n">
        <f aca="false">G179-H179</f>
        <v>0.007481</v>
      </c>
    </row>
    <row r="180" customFormat="false" ht="13.8" hidden="false" customHeight="false" outlineLevel="0" collapsed="false">
      <c r="A180" s="5" t="n">
        <v>31352</v>
      </c>
      <c r="B180" s="1" t="n">
        <v>0.0648</v>
      </c>
      <c r="C180" s="1" t="n">
        <v>0.0431</v>
      </c>
      <c r="D180" s="1" t="n">
        <v>0.0825</v>
      </c>
      <c r="E180" s="1" t="n">
        <v>0.0575</v>
      </c>
      <c r="F180" s="1" t="n">
        <v>0.0648</v>
      </c>
      <c r="G180" s="1" t="n">
        <v>0.0495165</v>
      </c>
      <c r="H180" s="1" t="n">
        <v>0.0780425</v>
      </c>
      <c r="J180" s="1" t="n">
        <f aca="false">C180-D180</f>
        <v>-0.0394</v>
      </c>
      <c r="K180" s="1" t="n">
        <f aca="false">G180-H180</f>
        <v>-0.028526</v>
      </c>
    </row>
    <row r="181" customFormat="false" ht="13.8" hidden="false" customHeight="false" outlineLevel="0" collapsed="false">
      <c r="A181" s="5" t="n">
        <v>31382</v>
      </c>
      <c r="B181" s="1" t="n">
        <v>0.0388</v>
      </c>
      <c r="C181" s="1" t="n">
        <v>0.0364</v>
      </c>
      <c r="D181" s="1" t="n">
        <v>0.05</v>
      </c>
      <c r="E181" s="1" t="n">
        <v>0.0352</v>
      </c>
      <c r="F181" s="1" t="n">
        <v>0.0412</v>
      </c>
      <c r="G181" s="1" t="n">
        <v>0.031398</v>
      </c>
      <c r="H181" s="1" t="n">
        <v>0.046785</v>
      </c>
      <c r="J181" s="1" t="n">
        <f aca="false">C181-D181</f>
        <v>-0.0136</v>
      </c>
      <c r="K181" s="1" t="n">
        <f aca="false">G181-H181</f>
        <v>-0.015387</v>
      </c>
    </row>
    <row r="182" customFormat="false" ht="13.8" hidden="false" customHeight="false" outlineLevel="0" collapsed="false">
      <c r="A182" s="5" t="n">
        <v>31413</v>
      </c>
      <c r="B182" s="1" t="n">
        <v>0.0065</v>
      </c>
      <c r="C182" s="1" t="n">
        <v>0.0107</v>
      </c>
      <c r="D182" s="1" t="n">
        <v>0.0047</v>
      </c>
      <c r="E182" s="1" t="n">
        <v>0.0233</v>
      </c>
      <c r="F182" s="1" t="n">
        <v>0.0016</v>
      </c>
      <c r="G182" s="1" t="n">
        <v>0.0147545</v>
      </c>
      <c r="H182" s="1" t="n">
        <v>0.0103085</v>
      </c>
      <c r="J182" s="1" t="n">
        <f aca="false">C182-D182</f>
        <v>0.006</v>
      </c>
      <c r="K182" s="1" t="n">
        <f aca="false">G182-H182</f>
        <v>0.004446</v>
      </c>
    </row>
    <row r="183" customFormat="false" ht="13.8" hidden="false" customHeight="false" outlineLevel="0" collapsed="false">
      <c r="A183" s="5" t="n">
        <v>31444</v>
      </c>
      <c r="B183" s="1" t="n">
        <v>0.0713</v>
      </c>
      <c r="C183" s="1" t="n">
        <v>0.0637</v>
      </c>
      <c r="D183" s="1" t="n">
        <v>0.0737</v>
      </c>
      <c r="E183" s="1" t="n">
        <v>0.066</v>
      </c>
      <c r="F183" s="1" t="n">
        <v>0.0733</v>
      </c>
      <c r="G183" s="1" t="n">
        <v>0.063971</v>
      </c>
      <c r="H183" s="1" t="n">
        <v>0.071163</v>
      </c>
      <c r="J183" s="1" t="n">
        <f aca="false">C183-D183</f>
        <v>-0.01</v>
      </c>
      <c r="K183" s="1" t="n">
        <f aca="false">G183-H183</f>
        <v>-0.007192</v>
      </c>
    </row>
    <row r="184" customFormat="false" ht="13.8" hidden="false" customHeight="false" outlineLevel="0" collapsed="false">
      <c r="A184" s="5" t="n">
        <v>31472</v>
      </c>
      <c r="B184" s="1" t="n">
        <v>0.0488</v>
      </c>
      <c r="C184" s="1" t="n">
        <v>0.0386</v>
      </c>
      <c r="D184" s="1" t="n">
        <v>0.0536</v>
      </c>
      <c r="E184" s="1" t="n">
        <v>0.0409</v>
      </c>
      <c r="F184" s="1" t="n">
        <v>0.0486</v>
      </c>
      <c r="G184" s="1" t="n">
        <v>0.0420555</v>
      </c>
      <c r="H184" s="1" t="n">
        <v>0.0460045</v>
      </c>
      <c r="J184" s="1" t="n">
        <f aca="false">C184-D184</f>
        <v>-0.015</v>
      </c>
      <c r="K184" s="1" t="n">
        <f aca="false">G184-H184</f>
        <v>-0.00394899999999999</v>
      </c>
    </row>
    <row r="185" customFormat="false" ht="13.8" hidden="false" customHeight="false" outlineLevel="0" collapsed="false">
      <c r="A185" s="5" t="n">
        <v>31503</v>
      </c>
      <c r="B185" s="1" t="n">
        <v>-0.0131</v>
      </c>
      <c r="C185" s="1" t="n">
        <v>-0.0345</v>
      </c>
      <c r="D185" s="1" t="n">
        <v>0.003</v>
      </c>
      <c r="E185" s="1" t="n">
        <v>0.0092</v>
      </c>
      <c r="F185" s="1" t="n">
        <v>-0.0182</v>
      </c>
      <c r="G185" s="1" t="n">
        <v>-0.019534</v>
      </c>
      <c r="H185" s="1" t="n">
        <v>0.009117</v>
      </c>
      <c r="J185" s="1" t="n">
        <f aca="false">C185-D185</f>
        <v>-0.0375</v>
      </c>
      <c r="K185" s="1" t="n">
        <f aca="false">G185-H185</f>
        <v>-0.028651</v>
      </c>
    </row>
    <row r="186" customFormat="false" ht="13.8" hidden="false" customHeight="false" outlineLevel="0" collapsed="false">
      <c r="A186" s="5" t="n">
        <v>31533</v>
      </c>
      <c r="B186" s="1" t="n">
        <v>0.0462</v>
      </c>
      <c r="C186" s="1" t="n">
        <v>0.044</v>
      </c>
      <c r="D186" s="1" t="n">
        <v>0.0466</v>
      </c>
      <c r="E186" s="1" t="n">
        <v>0.0324</v>
      </c>
      <c r="F186" s="1" t="n">
        <v>0.0493</v>
      </c>
      <c r="G186" s="1" t="n">
        <v>0.036967</v>
      </c>
      <c r="H186" s="1" t="n">
        <v>0.0390865</v>
      </c>
      <c r="J186" s="1" t="n">
        <f aca="false">C186-D186</f>
        <v>-0.0026</v>
      </c>
      <c r="K186" s="1" t="n">
        <f aca="false">G186-H186</f>
        <v>-0.0021195</v>
      </c>
    </row>
    <row r="187" customFormat="false" ht="13.8" hidden="false" customHeight="false" outlineLevel="0" collapsed="false">
      <c r="A187" s="5" t="n">
        <v>31564</v>
      </c>
      <c r="B187" s="1" t="n">
        <v>0.0103</v>
      </c>
      <c r="C187" s="1" t="n">
        <v>0.0197</v>
      </c>
      <c r="D187" s="1" t="n">
        <v>0.0108</v>
      </c>
      <c r="E187" s="1" t="n">
        <v>0.0042</v>
      </c>
      <c r="F187" s="1" t="n">
        <v>0.013</v>
      </c>
      <c r="G187" s="1" t="n">
        <v>0.0167425</v>
      </c>
      <c r="H187" s="1" t="n">
        <v>0.0039045</v>
      </c>
      <c r="J187" s="1" t="n">
        <f aca="false">C187-D187</f>
        <v>0.0089</v>
      </c>
      <c r="K187" s="1" t="n">
        <f aca="false">G187-H187</f>
        <v>0.012838</v>
      </c>
    </row>
    <row r="188" customFormat="false" ht="13.8" hidden="false" customHeight="false" outlineLevel="0" collapsed="false">
      <c r="A188" s="5" t="n">
        <v>31594</v>
      </c>
      <c r="B188" s="1" t="n">
        <v>-0.0645</v>
      </c>
      <c r="C188" s="1" t="n">
        <v>-0.0347</v>
      </c>
      <c r="D188" s="1" t="n">
        <v>-0.082</v>
      </c>
      <c r="E188" s="1" t="n">
        <v>-0.0928</v>
      </c>
      <c r="F188" s="1" t="n">
        <v>-0.0575</v>
      </c>
      <c r="G188" s="1" t="n">
        <v>-0.0473245</v>
      </c>
      <c r="H188" s="1" t="n">
        <v>-0.0943155</v>
      </c>
      <c r="J188" s="1" t="n">
        <f aca="false">C188-D188</f>
        <v>0.0473</v>
      </c>
      <c r="K188" s="1" t="n">
        <f aca="false">G188-H188</f>
        <v>0.046991</v>
      </c>
    </row>
    <row r="189" customFormat="false" ht="13.8" hidden="false" customHeight="false" outlineLevel="0" collapsed="false">
      <c r="A189" s="5" t="n">
        <v>31625</v>
      </c>
      <c r="B189" s="1" t="n">
        <v>0.0607</v>
      </c>
      <c r="C189" s="1" t="n">
        <v>0.0851</v>
      </c>
      <c r="D189" s="1" t="n">
        <v>0.0386</v>
      </c>
      <c r="E189" s="1" t="n">
        <v>0.0108</v>
      </c>
      <c r="F189" s="1" t="n">
        <v>0.0677</v>
      </c>
      <c r="G189" s="1" t="n">
        <v>0.064817</v>
      </c>
      <c r="H189" s="1" t="n">
        <v>0.0297065</v>
      </c>
      <c r="J189" s="1" t="n">
        <f aca="false">C189-D189</f>
        <v>0.0465</v>
      </c>
      <c r="K189" s="1" t="n">
        <f aca="false">G189-H189</f>
        <v>0.0351105</v>
      </c>
    </row>
    <row r="190" customFormat="false" ht="13.8" hidden="false" customHeight="false" outlineLevel="0" collapsed="false">
      <c r="A190" s="5" t="n">
        <v>31656</v>
      </c>
      <c r="B190" s="1" t="n">
        <v>-0.086</v>
      </c>
      <c r="C190" s="1" t="n">
        <v>-0.0743</v>
      </c>
      <c r="D190" s="1" t="n">
        <v>-0.1038</v>
      </c>
      <c r="E190" s="1" t="n">
        <v>-0.0687</v>
      </c>
      <c r="F190" s="1" t="n">
        <v>-0.092</v>
      </c>
      <c r="G190" s="1" t="n">
        <v>-0.0640435</v>
      </c>
      <c r="H190" s="1" t="n">
        <v>-0.096262</v>
      </c>
      <c r="J190" s="1" t="n">
        <f aca="false">C190-D190</f>
        <v>0.0295</v>
      </c>
      <c r="K190" s="1" t="n">
        <f aca="false">G190-H190</f>
        <v>0.0322185</v>
      </c>
    </row>
    <row r="191" customFormat="false" ht="13.8" hidden="false" customHeight="false" outlineLevel="0" collapsed="false">
      <c r="A191" s="5" t="n">
        <v>31686</v>
      </c>
      <c r="B191" s="1" t="n">
        <v>0.0466</v>
      </c>
      <c r="C191" s="1" t="n">
        <v>0.0469</v>
      </c>
      <c r="D191" s="1" t="n">
        <v>0.0506</v>
      </c>
      <c r="E191" s="1" t="n">
        <v>0.0209</v>
      </c>
      <c r="F191" s="1" t="n">
        <v>0.0521</v>
      </c>
      <c r="G191" s="1" t="n">
        <v>0.031645</v>
      </c>
      <c r="H191" s="1" t="n">
        <v>0.045819</v>
      </c>
      <c r="J191" s="1" t="n">
        <f aca="false">C191-D191</f>
        <v>-0.0037</v>
      </c>
      <c r="K191" s="1" t="n">
        <f aca="false">G191-H191</f>
        <v>-0.014174</v>
      </c>
    </row>
    <row r="192" customFormat="false" ht="13.8" hidden="false" customHeight="false" outlineLevel="0" collapsed="false">
      <c r="A192" s="5" t="n">
        <v>31717</v>
      </c>
      <c r="B192" s="1" t="n">
        <v>0.0117</v>
      </c>
      <c r="C192" s="1" t="n">
        <v>0.0102</v>
      </c>
      <c r="D192" s="1" t="n">
        <v>0.0148</v>
      </c>
      <c r="E192" s="1" t="n">
        <v>-0.0114</v>
      </c>
      <c r="F192" s="1" t="n">
        <v>0.0174</v>
      </c>
      <c r="G192" s="1" t="n">
        <v>0.0061875</v>
      </c>
      <c r="H192" s="1" t="n">
        <v>0.0069035</v>
      </c>
      <c r="J192" s="1" t="n">
        <f aca="false">C192-D192</f>
        <v>-0.0046</v>
      </c>
      <c r="K192" s="1" t="n">
        <f aca="false">G192-H192</f>
        <v>-0.000716</v>
      </c>
    </row>
    <row r="193" customFormat="false" ht="13.8" hidden="false" customHeight="false" outlineLevel="0" collapsed="false">
      <c r="A193" s="5" t="n">
        <v>31747</v>
      </c>
      <c r="B193" s="1" t="n">
        <v>-0.0327</v>
      </c>
      <c r="C193" s="1" t="n">
        <v>-0.0327</v>
      </c>
      <c r="D193" s="1" t="n">
        <v>-0.0296</v>
      </c>
      <c r="E193" s="1" t="n">
        <v>-0.0388</v>
      </c>
      <c r="F193" s="1" t="n">
        <v>-0.0325</v>
      </c>
      <c r="G193" s="1" t="n">
        <v>-0.0285195</v>
      </c>
      <c r="H193" s="1" t="n">
        <v>-0.0321645</v>
      </c>
      <c r="J193" s="1" t="n">
        <f aca="false">C193-D193</f>
        <v>-0.0031</v>
      </c>
      <c r="K193" s="1" t="n">
        <f aca="false">G193-H193</f>
        <v>0.003645</v>
      </c>
    </row>
    <row r="194" customFormat="false" ht="13.8" hidden="false" customHeight="false" outlineLevel="0" collapsed="false">
      <c r="A194" s="5" t="n">
        <v>31778</v>
      </c>
      <c r="B194" s="1" t="n">
        <v>0.1247</v>
      </c>
      <c r="C194" s="1" t="n">
        <v>0.1046</v>
      </c>
      <c r="D194" s="1" t="n">
        <v>0.1337</v>
      </c>
      <c r="E194" s="1" t="n">
        <v>0.1078</v>
      </c>
      <c r="F194" s="1" t="n">
        <v>0.1273</v>
      </c>
      <c r="G194" s="1" t="n">
        <v>0.0971735</v>
      </c>
      <c r="H194" s="1" t="n">
        <v>0.1287835</v>
      </c>
      <c r="J194" s="1" t="n">
        <f aca="false">C194-D194</f>
        <v>-0.0291</v>
      </c>
      <c r="K194" s="1" t="n">
        <f aca="false">G194-H194</f>
        <v>-0.03161</v>
      </c>
    </row>
    <row r="195" customFormat="false" ht="13.8" hidden="false" customHeight="false" outlineLevel="0" collapsed="false">
      <c r="A195" s="5" t="n">
        <v>31809</v>
      </c>
      <c r="B195" s="1" t="n">
        <v>0.0439</v>
      </c>
      <c r="C195" s="1" t="n">
        <v>0.0003</v>
      </c>
      <c r="D195" s="1" t="n">
        <v>0.0725</v>
      </c>
      <c r="E195" s="1" t="n">
        <v>0.0734</v>
      </c>
      <c r="F195" s="1" t="n">
        <v>0.0358</v>
      </c>
      <c r="G195" s="1" t="n">
        <v>0.0213015</v>
      </c>
      <c r="H195" s="1" t="n">
        <v>0.0804295</v>
      </c>
      <c r="J195" s="1" t="n">
        <f aca="false">C195-D195</f>
        <v>-0.0722</v>
      </c>
      <c r="K195" s="1" t="n">
        <f aca="false">G195-H195</f>
        <v>-0.059128</v>
      </c>
    </row>
    <row r="196" customFormat="false" ht="13.8" hidden="false" customHeight="false" outlineLevel="0" collapsed="false">
      <c r="A196" s="5" t="n">
        <v>31837</v>
      </c>
      <c r="B196" s="1" t="n">
        <v>0.0164</v>
      </c>
      <c r="C196" s="1" t="n">
        <v>0.0224</v>
      </c>
      <c r="D196" s="1" t="n">
        <v>0.0118</v>
      </c>
      <c r="E196" s="1" t="n">
        <v>0.0217</v>
      </c>
      <c r="F196" s="1" t="n">
        <v>0.0168</v>
      </c>
      <c r="G196" s="1" t="n">
        <v>0.026681</v>
      </c>
      <c r="H196" s="1" t="n">
        <v>0.0106025</v>
      </c>
      <c r="J196" s="1" t="n">
        <f aca="false">C196-D196</f>
        <v>0.0106</v>
      </c>
      <c r="K196" s="1" t="n">
        <f aca="false">G196-H196</f>
        <v>0.0160785</v>
      </c>
    </row>
    <row r="197" customFormat="false" ht="13.8" hidden="false" customHeight="false" outlineLevel="0" collapsed="false">
      <c r="A197" s="5" t="n">
        <v>31868</v>
      </c>
      <c r="B197" s="1" t="n">
        <v>-0.0211</v>
      </c>
      <c r="C197" s="1" t="n">
        <v>-0.0215</v>
      </c>
      <c r="D197" s="1" t="n">
        <v>-0.0233</v>
      </c>
      <c r="E197" s="1" t="n">
        <v>-0.0257</v>
      </c>
      <c r="F197" s="1" t="n">
        <v>-0.019</v>
      </c>
      <c r="G197" s="1" t="n">
        <v>-0.0304195</v>
      </c>
      <c r="H197" s="1" t="n">
        <v>-0.026504</v>
      </c>
      <c r="J197" s="1" t="n">
        <f aca="false">C197-D197</f>
        <v>0.0018</v>
      </c>
      <c r="K197" s="1" t="n">
        <f aca="false">G197-H197</f>
        <v>-0.0039155</v>
      </c>
    </row>
    <row r="198" customFormat="false" ht="13.8" hidden="false" customHeight="false" outlineLevel="0" collapsed="false">
      <c r="A198" s="5" t="n">
        <v>31898</v>
      </c>
      <c r="B198" s="1" t="n">
        <v>0.0011</v>
      </c>
      <c r="C198" s="1" t="n">
        <v>0.0031</v>
      </c>
      <c r="D198" s="1" t="n">
        <v>0.0075</v>
      </c>
      <c r="E198" s="1" t="n">
        <v>-0.007</v>
      </c>
      <c r="F198" s="1" t="n">
        <v>0.003</v>
      </c>
      <c r="G198" s="1" t="n">
        <v>0.0036405</v>
      </c>
      <c r="H198" s="1" t="n">
        <v>0.0012925</v>
      </c>
      <c r="J198" s="1" t="n">
        <f aca="false">C198-D198</f>
        <v>-0.0044</v>
      </c>
      <c r="K198" s="1" t="n">
        <f aca="false">G198-H198</f>
        <v>0.002348</v>
      </c>
    </row>
    <row r="199" customFormat="false" ht="13.8" hidden="false" customHeight="false" outlineLevel="0" collapsed="false">
      <c r="A199" s="5" t="n">
        <v>31929</v>
      </c>
      <c r="B199" s="1" t="n">
        <v>0.0394</v>
      </c>
      <c r="C199" s="1" t="n">
        <v>0.0413</v>
      </c>
      <c r="D199" s="1" t="n">
        <v>0.0385</v>
      </c>
      <c r="E199" s="1" t="n">
        <v>0.014</v>
      </c>
      <c r="F199" s="1" t="n">
        <v>0.0459</v>
      </c>
      <c r="G199" s="1" t="n">
        <v>0.036778</v>
      </c>
      <c r="H199" s="1" t="n">
        <v>0.026392</v>
      </c>
      <c r="J199" s="1" t="n">
        <f aca="false">C199-D199</f>
        <v>0.0028</v>
      </c>
      <c r="K199" s="1" t="n">
        <f aca="false">G199-H199</f>
        <v>0.010386</v>
      </c>
    </row>
    <row r="200" customFormat="false" ht="13.8" hidden="false" customHeight="false" outlineLevel="0" collapsed="false">
      <c r="A200" s="5" t="n">
        <v>31959</v>
      </c>
      <c r="B200" s="1" t="n">
        <v>0.0385</v>
      </c>
      <c r="C200" s="1" t="n">
        <v>0.0347</v>
      </c>
      <c r="D200" s="1" t="n">
        <v>0.0465</v>
      </c>
      <c r="E200" s="1" t="n">
        <v>0.0202</v>
      </c>
      <c r="F200" s="1" t="n">
        <v>0.0407</v>
      </c>
      <c r="G200" s="1" t="n">
        <v>0.040643</v>
      </c>
      <c r="H200" s="1" t="n">
        <v>0.033825</v>
      </c>
      <c r="J200" s="1" t="n">
        <f aca="false">C200-D200</f>
        <v>-0.0118</v>
      </c>
      <c r="K200" s="1" t="n">
        <f aca="false">G200-H200</f>
        <v>0.006818</v>
      </c>
    </row>
    <row r="201" customFormat="false" ht="13.8" hidden="false" customHeight="false" outlineLevel="0" collapsed="false">
      <c r="A201" s="5" t="n">
        <v>31990</v>
      </c>
      <c r="B201" s="1" t="n">
        <v>0.0352</v>
      </c>
      <c r="C201" s="1" t="n">
        <v>0.023</v>
      </c>
      <c r="D201" s="1" t="n">
        <v>0.0407</v>
      </c>
      <c r="E201" s="1" t="n">
        <v>0.0187</v>
      </c>
      <c r="F201" s="1" t="n">
        <v>0.0377</v>
      </c>
      <c r="G201" s="1" t="n">
        <v>0.024131</v>
      </c>
      <c r="H201" s="1" t="n">
        <v>0.0334095</v>
      </c>
      <c r="J201" s="1" t="n">
        <f aca="false">C201-D201</f>
        <v>-0.0177</v>
      </c>
      <c r="K201" s="1" t="n">
        <f aca="false">G201-H201</f>
        <v>-0.0092785</v>
      </c>
    </row>
    <row r="202" customFormat="false" ht="13.8" hidden="false" customHeight="false" outlineLevel="0" collapsed="false">
      <c r="A202" s="5" t="n">
        <v>32021</v>
      </c>
      <c r="B202" s="1" t="n">
        <v>-0.0259</v>
      </c>
      <c r="C202" s="1" t="n">
        <v>-0.0289</v>
      </c>
      <c r="D202" s="1" t="n">
        <v>-0.0248</v>
      </c>
      <c r="E202" s="1" t="n">
        <v>-0.0243</v>
      </c>
      <c r="F202" s="1" t="n">
        <v>-0.0269</v>
      </c>
      <c r="G202" s="1" t="n">
        <v>-0.0243285</v>
      </c>
      <c r="H202" s="1" t="n">
        <v>-0.027076</v>
      </c>
      <c r="J202" s="1" t="n">
        <f aca="false">C202-D202</f>
        <v>-0.0041</v>
      </c>
      <c r="K202" s="1" t="n">
        <f aca="false">G202-H202</f>
        <v>0.0027475</v>
      </c>
    </row>
    <row r="203" customFormat="false" ht="13.8" hidden="false" customHeight="false" outlineLevel="0" collapsed="false">
      <c r="A203" s="5" t="n">
        <v>32051</v>
      </c>
      <c r="B203" s="1" t="n">
        <v>-0.2324</v>
      </c>
      <c r="C203" s="1" t="n">
        <v>-0.2094</v>
      </c>
      <c r="D203" s="1" t="n">
        <v>-0.2488</v>
      </c>
      <c r="E203" s="1" t="n">
        <v>-0.3003</v>
      </c>
      <c r="F203" s="1" t="n">
        <v>-0.214</v>
      </c>
      <c r="G203" s="1" t="n">
        <v>-0.2421335</v>
      </c>
      <c r="H203" s="1" t="n">
        <v>-0.2844935</v>
      </c>
      <c r="J203" s="1" t="n">
        <f aca="false">C203-D203</f>
        <v>0.0394</v>
      </c>
      <c r="K203" s="1" t="n">
        <f aca="false">G203-H203</f>
        <v>0.04236</v>
      </c>
    </row>
    <row r="204" customFormat="false" ht="13.8" hidden="false" customHeight="false" outlineLevel="0" collapsed="false">
      <c r="A204" s="5" t="n">
        <v>32082</v>
      </c>
      <c r="B204" s="1" t="n">
        <v>-0.0777</v>
      </c>
      <c r="C204" s="1" t="n">
        <v>-0.0591</v>
      </c>
      <c r="D204" s="1" t="n">
        <v>-0.0885</v>
      </c>
      <c r="E204" s="1" t="n">
        <v>-0.0547</v>
      </c>
      <c r="F204" s="1" t="n">
        <v>-0.0859</v>
      </c>
      <c r="G204" s="1" t="n">
        <v>-0.0505935</v>
      </c>
      <c r="H204" s="1" t="n">
        <v>-0.0801055</v>
      </c>
      <c r="J204" s="1" t="n">
        <f aca="false">C204-D204</f>
        <v>0.0294</v>
      </c>
      <c r="K204" s="1" t="n">
        <f aca="false">G204-H204</f>
        <v>0.029512</v>
      </c>
    </row>
    <row r="205" customFormat="false" ht="13.8" hidden="false" customHeight="false" outlineLevel="0" collapsed="false">
      <c r="A205" s="5" t="n">
        <v>32112</v>
      </c>
      <c r="B205" s="1" t="n">
        <v>0.0681</v>
      </c>
      <c r="C205" s="1" t="n">
        <v>0.045</v>
      </c>
      <c r="D205" s="1" t="n">
        <v>0.0876</v>
      </c>
      <c r="E205" s="1" t="n">
        <v>0.0425</v>
      </c>
      <c r="F205" s="1" t="n">
        <v>0.0662</v>
      </c>
      <c r="G205" s="1" t="n">
        <v>0.043842</v>
      </c>
      <c r="H205" s="1" t="n">
        <v>0.088106</v>
      </c>
      <c r="J205" s="1" t="n">
        <f aca="false">C205-D205</f>
        <v>-0.0426</v>
      </c>
      <c r="K205" s="1" t="n">
        <f aca="false">G205-H205</f>
        <v>-0.044264</v>
      </c>
    </row>
    <row r="206" customFormat="false" ht="13.8" hidden="false" customHeight="false" outlineLevel="0" collapsed="false">
      <c r="A206" s="5" t="n">
        <v>32143</v>
      </c>
      <c r="B206" s="1" t="n">
        <v>0.0421</v>
      </c>
      <c r="C206" s="1" t="n">
        <v>0.075</v>
      </c>
      <c r="D206" s="1" t="n">
        <v>0.0176</v>
      </c>
      <c r="E206" s="1" t="n">
        <v>0.0556</v>
      </c>
      <c r="F206" s="1" t="n">
        <v>0.0434</v>
      </c>
      <c r="G206" s="1" t="n">
        <v>0.068461</v>
      </c>
      <c r="H206" s="1" t="n">
        <v>0.018312</v>
      </c>
      <c r="J206" s="1" t="n">
        <f aca="false">C206-D206</f>
        <v>0.0574</v>
      </c>
      <c r="K206" s="1" t="n">
        <f aca="false">G206-H206</f>
        <v>0.050149</v>
      </c>
    </row>
    <row r="207" customFormat="false" ht="13.8" hidden="false" customHeight="false" outlineLevel="0" collapsed="false">
      <c r="A207" s="5" t="n">
        <v>32174</v>
      </c>
      <c r="B207" s="1" t="n">
        <v>0.0475</v>
      </c>
      <c r="C207" s="1" t="n">
        <v>0.0335</v>
      </c>
      <c r="D207" s="1" t="n">
        <v>0.0529</v>
      </c>
      <c r="E207" s="1" t="n">
        <v>0.0624</v>
      </c>
      <c r="F207" s="1" t="n">
        <v>0.0395</v>
      </c>
      <c r="G207" s="1" t="n">
        <v>0.0480465</v>
      </c>
      <c r="H207" s="1" t="n">
        <v>0.0651285</v>
      </c>
      <c r="J207" s="1" t="n">
        <f aca="false">C207-D207</f>
        <v>-0.0194</v>
      </c>
      <c r="K207" s="1" t="n">
        <f aca="false">G207-H207</f>
        <v>-0.017082</v>
      </c>
    </row>
    <row r="208" customFormat="false" ht="13.8" hidden="false" customHeight="false" outlineLevel="0" collapsed="false">
      <c r="A208" s="5" t="n">
        <v>32203</v>
      </c>
      <c r="B208" s="1" t="n">
        <v>-0.0227</v>
      </c>
      <c r="C208" s="1" t="n">
        <v>-0.012</v>
      </c>
      <c r="D208" s="1" t="n">
        <v>-0.0286</v>
      </c>
      <c r="E208" s="1" t="n">
        <v>0.038</v>
      </c>
      <c r="F208" s="1" t="n">
        <v>-0.0365</v>
      </c>
      <c r="G208" s="1" t="n">
        <v>0.005472</v>
      </c>
      <c r="H208" s="1" t="n">
        <v>-0.0018475</v>
      </c>
      <c r="J208" s="1" t="n">
        <f aca="false">C208-D208</f>
        <v>0.0166</v>
      </c>
      <c r="K208" s="1" t="n">
        <f aca="false">G208-H208</f>
        <v>0.0073195</v>
      </c>
    </row>
    <row r="209" customFormat="false" ht="13.8" hidden="false" customHeight="false" outlineLevel="0" collapsed="false">
      <c r="A209" s="5" t="n">
        <v>32234</v>
      </c>
      <c r="B209" s="1" t="n">
        <v>0.0056</v>
      </c>
      <c r="C209" s="1" t="n">
        <v>0.012</v>
      </c>
      <c r="D209" s="1" t="n">
        <v>-0.0087</v>
      </c>
      <c r="E209" s="1" t="n">
        <v>0.0134</v>
      </c>
      <c r="F209" s="1" t="n">
        <v>0.0047</v>
      </c>
      <c r="G209" s="1" t="n">
        <v>0.016076</v>
      </c>
      <c r="H209" s="1" t="n">
        <v>-0.000624</v>
      </c>
      <c r="J209" s="1" t="n">
        <f aca="false">C209-D209</f>
        <v>0.0207</v>
      </c>
      <c r="K209" s="1" t="n">
        <f aca="false">G209-H209</f>
        <v>0.0167</v>
      </c>
    </row>
    <row r="210" customFormat="false" ht="13.8" hidden="false" customHeight="false" outlineLevel="0" collapsed="false">
      <c r="A210" s="5" t="n">
        <v>32264</v>
      </c>
      <c r="B210" s="1" t="n">
        <v>-0.0029</v>
      </c>
      <c r="C210" s="1" t="n">
        <v>0.0135</v>
      </c>
      <c r="D210" s="1" t="n">
        <v>-0.0083</v>
      </c>
      <c r="E210" s="1" t="n">
        <v>-0.0284</v>
      </c>
      <c r="F210" s="1" t="n">
        <v>0.0027</v>
      </c>
      <c r="G210" s="1" t="n">
        <v>0.004141</v>
      </c>
      <c r="H210" s="1" t="n">
        <v>-0.0200605</v>
      </c>
      <c r="J210" s="1" t="n">
        <f aca="false">C210-D210</f>
        <v>0.0218</v>
      </c>
      <c r="K210" s="1" t="n">
        <f aca="false">G210-H210</f>
        <v>0.0242015</v>
      </c>
    </row>
    <row r="211" customFormat="false" ht="13.8" hidden="false" customHeight="false" outlineLevel="0" collapsed="false">
      <c r="A211" s="5" t="n">
        <v>32295</v>
      </c>
      <c r="B211" s="1" t="n">
        <v>0.0479</v>
      </c>
      <c r="C211" s="1" t="n">
        <v>0.0372</v>
      </c>
      <c r="D211" s="1" t="n">
        <v>0.0473</v>
      </c>
      <c r="E211" s="1" t="n">
        <v>0.0554</v>
      </c>
      <c r="F211" s="1" t="n">
        <v>0.0429</v>
      </c>
      <c r="G211" s="1" t="n">
        <v>0.0463045</v>
      </c>
      <c r="H211" s="1" t="n">
        <v>0.0586555</v>
      </c>
      <c r="J211" s="1" t="n">
        <f aca="false">C211-D211</f>
        <v>-0.0101</v>
      </c>
      <c r="K211" s="1" t="n">
        <f aca="false">G211-H211</f>
        <v>-0.012351</v>
      </c>
    </row>
    <row r="212" customFormat="false" ht="13.8" hidden="false" customHeight="false" outlineLevel="0" collapsed="false">
      <c r="A212" s="5" t="n">
        <v>32325</v>
      </c>
      <c r="B212" s="1" t="n">
        <v>-0.0125</v>
      </c>
      <c r="C212" s="1" t="n">
        <v>-0.0027</v>
      </c>
      <c r="D212" s="1" t="n">
        <v>-0.0223</v>
      </c>
      <c r="E212" s="1" t="n">
        <v>-0.007</v>
      </c>
      <c r="F212" s="1" t="n">
        <v>-0.0106</v>
      </c>
      <c r="G212" s="1" t="n">
        <v>-0.0026275</v>
      </c>
      <c r="H212" s="1" t="n">
        <v>-0.024869</v>
      </c>
      <c r="J212" s="1" t="n">
        <f aca="false">C212-D212</f>
        <v>0.0196</v>
      </c>
      <c r="K212" s="1" t="n">
        <f aca="false">G212-H212</f>
        <v>0.0222415</v>
      </c>
    </row>
    <row r="213" customFormat="false" ht="13.8" hidden="false" customHeight="false" outlineLevel="0" collapsed="false">
      <c r="A213" s="5" t="n">
        <v>32356</v>
      </c>
      <c r="B213" s="1" t="n">
        <v>-0.0331</v>
      </c>
      <c r="C213" s="1" t="n">
        <v>-0.0198</v>
      </c>
      <c r="D213" s="1" t="n">
        <v>-0.0369</v>
      </c>
      <c r="E213" s="1" t="n">
        <v>-0.0285</v>
      </c>
      <c r="F213" s="1" t="n">
        <v>-0.0348</v>
      </c>
      <c r="G213" s="1" t="n">
        <v>-0.0198945</v>
      </c>
      <c r="H213" s="1" t="n">
        <v>-0.041382</v>
      </c>
      <c r="J213" s="1" t="n">
        <f aca="false">C213-D213</f>
        <v>0.0171</v>
      </c>
      <c r="K213" s="1" t="n">
        <f aca="false">G213-H213</f>
        <v>0.0214875</v>
      </c>
    </row>
    <row r="214" customFormat="false" ht="13.8" hidden="false" customHeight="false" outlineLevel="0" collapsed="false">
      <c r="A214" s="5" t="n">
        <v>32387</v>
      </c>
      <c r="B214" s="1" t="n">
        <v>0.033</v>
      </c>
      <c r="C214" s="1" t="n">
        <v>0.0287</v>
      </c>
      <c r="D214" s="1" t="n">
        <v>0.0421</v>
      </c>
      <c r="E214" s="1" t="n">
        <v>0.0149</v>
      </c>
      <c r="F214" s="1" t="n">
        <v>0.0369</v>
      </c>
      <c r="G214" s="1" t="n">
        <v>0.0249275</v>
      </c>
      <c r="H214" s="1" t="n">
        <v>0.032468</v>
      </c>
      <c r="J214" s="1" t="n">
        <f aca="false">C214-D214</f>
        <v>-0.0134</v>
      </c>
      <c r="K214" s="1" t="n">
        <f aca="false">G214-H214</f>
        <v>-0.0075405</v>
      </c>
    </row>
    <row r="215" customFormat="false" ht="13.8" hidden="false" customHeight="false" outlineLevel="0" collapsed="false">
      <c r="A215" s="5" t="n">
        <v>32417</v>
      </c>
      <c r="B215" s="1" t="n">
        <v>0.0115</v>
      </c>
      <c r="C215" s="1" t="n">
        <v>0.0208</v>
      </c>
      <c r="D215" s="1" t="n">
        <v>0.0057</v>
      </c>
      <c r="E215" s="1" t="n">
        <v>-0.018</v>
      </c>
      <c r="F215" s="1" t="n">
        <v>0.0188</v>
      </c>
      <c r="G215" s="1" t="n">
        <v>0.0121885</v>
      </c>
      <c r="H215" s="1" t="n">
        <v>-0.008303</v>
      </c>
      <c r="J215" s="1" t="n">
        <f aca="false">C215-D215</f>
        <v>0.0151</v>
      </c>
      <c r="K215" s="1" t="n">
        <f aca="false">G215-H215</f>
        <v>0.0204915</v>
      </c>
    </row>
    <row r="216" customFormat="false" ht="13.8" hidden="false" customHeight="false" outlineLevel="0" collapsed="false">
      <c r="A216" s="5" t="n">
        <v>32448</v>
      </c>
      <c r="B216" s="1" t="n">
        <v>-0.0229</v>
      </c>
      <c r="C216" s="1" t="n">
        <v>-0.0124</v>
      </c>
      <c r="D216" s="1" t="n">
        <v>-0.0272</v>
      </c>
      <c r="E216" s="1" t="n">
        <v>-0.0428</v>
      </c>
      <c r="F216" s="1" t="n">
        <v>-0.0199</v>
      </c>
      <c r="G216" s="1" t="n">
        <v>-0.0205045</v>
      </c>
      <c r="H216" s="1" t="n">
        <v>-0.0346175</v>
      </c>
      <c r="J216" s="1" t="n">
        <f aca="false">C216-D216</f>
        <v>0.0148</v>
      </c>
      <c r="K216" s="1" t="n">
        <f aca="false">G216-H216</f>
        <v>0.014113</v>
      </c>
    </row>
    <row r="217" customFormat="false" ht="13.8" hidden="false" customHeight="false" outlineLevel="0" collapsed="false">
      <c r="A217" s="5" t="n">
        <v>32478</v>
      </c>
      <c r="B217" s="1" t="n">
        <v>0.0149</v>
      </c>
      <c r="C217" s="1" t="n">
        <v>0.004</v>
      </c>
      <c r="D217" s="1" t="n">
        <v>0.024</v>
      </c>
      <c r="E217" s="1" t="n">
        <v>0.0258</v>
      </c>
      <c r="F217" s="1" t="n">
        <v>0.0123</v>
      </c>
      <c r="G217" s="1" t="n">
        <v>0.0118015</v>
      </c>
      <c r="H217" s="1" t="n">
        <v>0.028717</v>
      </c>
      <c r="J217" s="1" t="n">
        <f aca="false">C217-D217</f>
        <v>-0.02</v>
      </c>
      <c r="K217" s="1" t="n">
        <f aca="false">G217-H217</f>
        <v>-0.0169155</v>
      </c>
    </row>
    <row r="218" customFormat="false" ht="13.8" hidden="false" customHeight="false" outlineLevel="0" collapsed="false">
      <c r="A218" s="5" t="n">
        <v>32509</v>
      </c>
      <c r="B218" s="1" t="n">
        <v>0.061</v>
      </c>
      <c r="C218" s="1" t="n">
        <v>0.0629</v>
      </c>
      <c r="D218" s="1" t="n">
        <v>0.0618</v>
      </c>
      <c r="E218" s="1" t="n">
        <v>0.0437</v>
      </c>
      <c r="F218" s="1" t="n">
        <v>0.0649</v>
      </c>
      <c r="G218" s="1" t="n">
        <v>0.056696</v>
      </c>
      <c r="H218" s="1" t="n">
        <v>0.050658</v>
      </c>
      <c r="J218" s="1" t="n">
        <f aca="false">C218-D218</f>
        <v>0.0011</v>
      </c>
      <c r="K218" s="1" t="n">
        <f aca="false">G218-H218</f>
        <v>0.006038</v>
      </c>
    </row>
    <row r="219" customFormat="false" ht="13.8" hidden="false" customHeight="false" outlineLevel="0" collapsed="false">
      <c r="A219" s="5" t="n">
        <v>32540</v>
      </c>
      <c r="B219" s="1" t="n">
        <v>-0.0225</v>
      </c>
      <c r="C219" s="1" t="n">
        <v>-0.0159</v>
      </c>
      <c r="D219" s="1" t="n">
        <v>-0.0279</v>
      </c>
      <c r="E219" s="1" t="n">
        <v>0.000999999999999999</v>
      </c>
      <c r="F219" s="1" t="n">
        <v>-0.0292</v>
      </c>
      <c r="G219" s="1" t="n">
        <v>-0.006012</v>
      </c>
      <c r="H219" s="1" t="n">
        <v>-0.016073</v>
      </c>
      <c r="J219" s="1" t="n">
        <f aca="false">C219-D219</f>
        <v>0.012</v>
      </c>
      <c r="K219" s="1" t="n">
        <f aca="false">G219-H219</f>
        <v>0.010061</v>
      </c>
    </row>
    <row r="220" customFormat="false" ht="13.8" hidden="false" customHeight="false" outlineLevel="0" collapsed="false">
      <c r="A220" s="5" t="n">
        <v>32568</v>
      </c>
      <c r="B220" s="1" t="n">
        <v>0.0157</v>
      </c>
      <c r="C220" s="1" t="n">
        <v>0.0207</v>
      </c>
      <c r="D220" s="1" t="n">
        <v>0.018</v>
      </c>
      <c r="E220" s="1" t="n">
        <v>0.0153</v>
      </c>
      <c r="F220" s="1" t="n">
        <v>0.0167</v>
      </c>
      <c r="G220" s="1" t="n">
        <v>0.0237835</v>
      </c>
      <c r="H220" s="1" t="n">
        <v>0.0180045</v>
      </c>
      <c r="J220" s="1" t="n">
        <f aca="false">C220-D220</f>
        <v>0.0027</v>
      </c>
      <c r="K220" s="1" t="n">
        <f aca="false">G220-H220</f>
        <v>0.005779</v>
      </c>
    </row>
    <row r="221" customFormat="false" ht="13.8" hidden="false" customHeight="false" outlineLevel="0" collapsed="false">
      <c r="A221" s="5" t="n">
        <v>32599</v>
      </c>
      <c r="B221" s="1" t="n">
        <v>0.0433</v>
      </c>
      <c r="C221" s="1" t="n">
        <v>0.0338</v>
      </c>
      <c r="D221" s="1" t="n">
        <v>0.0529</v>
      </c>
      <c r="E221" s="1" t="n">
        <v>0.0269</v>
      </c>
      <c r="F221" s="1" t="n">
        <v>0.0448</v>
      </c>
      <c r="G221" s="1" t="n">
        <v>0.0327795</v>
      </c>
      <c r="H221" s="1" t="n">
        <v>0.0469795</v>
      </c>
      <c r="J221" s="1" t="n">
        <f aca="false">C221-D221</f>
        <v>-0.0191</v>
      </c>
      <c r="K221" s="1" t="n">
        <f aca="false">G221-H221</f>
        <v>-0.0142</v>
      </c>
    </row>
    <row r="222" customFormat="false" ht="13.8" hidden="false" customHeight="false" outlineLevel="0" collapsed="false">
      <c r="A222" s="5" t="n">
        <v>32629</v>
      </c>
      <c r="B222" s="1" t="n">
        <v>0.0335</v>
      </c>
      <c r="C222" s="1" t="n">
        <v>0.0317</v>
      </c>
      <c r="D222" s="1" t="n">
        <v>0.0402</v>
      </c>
      <c r="E222" s="1" t="n">
        <v>0.0247</v>
      </c>
      <c r="F222" s="1" t="n">
        <v>0.0336</v>
      </c>
      <c r="G222" s="1" t="n">
        <v>0.030894</v>
      </c>
      <c r="H222" s="1" t="n">
        <v>0.039734</v>
      </c>
      <c r="J222" s="1" t="n">
        <f aca="false">C222-D222</f>
        <v>-0.0085</v>
      </c>
      <c r="K222" s="1" t="n">
        <f aca="false">G222-H222</f>
        <v>-0.00884</v>
      </c>
    </row>
    <row r="223" customFormat="false" ht="13.8" hidden="false" customHeight="false" outlineLevel="0" collapsed="false">
      <c r="A223" s="5" t="n">
        <v>32660</v>
      </c>
      <c r="B223" s="1" t="n">
        <v>-0.0135</v>
      </c>
      <c r="C223" s="1" t="n">
        <v>-0.0035</v>
      </c>
      <c r="D223" s="1" t="n">
        <v>-0.0189</v>
      </c>
      <c r="E223" s="1" t="n">
        <v>-0.0232</v>
      </c>
      <c r="F223" s="1" t="n">
        <v>-0.0115</v>
      </c>
      <c r="G223" s="1" t="n">
        <v>-0.0052875</v>
      </c>
      <c r="H223" s="1" t="n">
        <v>-0.027746</v>
      </c>
      <c r="J223" s="1" t="n">
        <f aca="false">C223-D223</f>
        <v>0.0154</v>
      </c>
      <c r="K223" s="1" t="n">
        <f aca="false">G223-H223</f>
        <v>0.0224585</v>
      </c>
    </row>
    <row r="224" customFormat="false" ht="13.8" hidden="false" customHeight="false" outlineLevel="0" collapsed="false">
      <c r="A224" s="5" t="n">
        <v>32690</v>
      </c>
      <c r="B224" s="1" t="n">
        <v>0.072</v>
      </c>
      <c r="C224" s="1" t="n">
        <v>0.0517</v>
      </c>
      <c r="D224" s="1" t="n">
        <v>0.0941</v>
      </c>
      <c r="E224" s="1" t="n">
        <v>0.0281</v>
      </c>
      <c r="F224" s="1" t="n">
        <v>0.0811</v>
      </c>
      <c r="G224" s="1" t="n">
        <v>0.0408625</v>
      </c>
      <c r="H224" s="1" t="n">
        <v>0.068713</v>
      </c>
      <c r="J224" s="1" t="n">
        <f aca="false">C224-D224</f>
        <v>-0.0424</v>
      </c>
      <c r="K224" s="1" t="n">
        <f aca="false">G224-H224</f>
        <v>-0.0278505</v>
      </c>
    </row>
    <row r="225" customFormat="false" ht="13.8" hidden="false" customHeight="false" outlineLevel="0" collapsed="false">
      <c r="A225" s="5" t="n">
        <v>32721</v>
      </c>
      <c r="B225" s="1" t="n">
        <v>0.0144</v>
      </c>
      <c r="C225" s="1" t="n">
        <v>0.0172</v>
      </c>
      <c r="D225" s="1" t="n">
        <v>0.0052</v>
      </c>
      <c r="E225" s="1" t="n">
        <v>0.0173</v>
      </c>
      <c r="F225" s="1" t="n">
        <v>0.0111</v>
      </c>
      <c r="G225" s="1" t="n">
        <v>0.0178695</v>
      </c>
      <c r="H225" s="1" t="n">
        <v>0.0118905</v>
      </c>
      <c r="J225" s="1" t="n">
        <f aca="false">C225-D225</f>
        <v>0.012</v>
      </c>
      <c r="K225" s="1" t="n">
        <f aca="false">G225-H225</f>
        <v>0.005979</v>
      </c>
    </row>
    <row r="226" customFormat="false" ht="13.8" hidden="false" customHeight="false" outlineLevel="0" collapsed="false">
      <c r="A226" s="5" t="n">
        <v>32752</v>
      </c>
      <c r="B226" s="1" t="n">
        <v>-0.0076</v>
      </c>
      <c r="C226" s="1" t="n">
        <v>-0.006</v>
      </c>
      <c r="D226" s="1" t="n">
        <v>-0.0005</v>
      </c>
      <c r="E226" s="1" t="n">
        <v>-0.0049</v>
      </c>
      <c r="F226" s="1" t="n">
        <v>-0.007</v>
      </c>
      <c r="G226" s="1" t="n">
        <v>-0.00954</v>
      </c>
      <c r="H226" s="1" t="n">
        <v>0.0031145</v>
      </c>
      <c r="J226" s="1" t="n">
        <f aca="false">C226-D226</f>
        <v>-0.0055</v>
      </c>
      <c r="K226" s="1" t="n">
        <f aca="false">G226-H226</f>
        <v>-0.0126545</v>
      </c>
    </row>
    <row r="227" customFormat="false" ht="13.8" hidden="false" customHeight="false" outlineLevel="0" collapsed="false">
      <c r="A227" s="5" t="n">
        <v>32782</v>
      </c>
      <c r="B227" s="1" t="n">
        <v>-0.0367</v>
      </c>
      <c r="C227" s="1" t="n">
        <v>-0.034</v>
      </c>
      <c r="D227" s="1" t="n">
        <v>-0.0244</v>
      </c>
      <c r="E227" s="1" t="n">
        <v>-0.0634</v>
      </c>
      <c r="F227" s="1" t="n">
        <v>-0.0298</v>
      </c>
      <c r="G227" s="1" t="n">
        <v>-0.0498555</v>
      </c>
      <c r="H227" s="1" t="n">
        <v>-0.0387435</v>
      </c>
      <c r="J227" s="1" t="n">
        <f aca="false">C227-D227</f>
        <v>-0.0096</v>
      </c>
      <c r="K227" s="1" t="n">
        <f aca="false">G227-H227</f>
        <v>-0.011112</v>
      </c>
    </row>
    <row r="228" customFormat="false" ht="13.8" hidden="false" customHeight="false" outlineLevel="0" collapsed="false">
      <c r="A228" s="5" t="n">
        <v>32813</v>
      </c>
      <c r="B228" s="1" t="n">
        <v>0.0103</v>
      </c>
      <c r="C228" s="1" t="n">
        <v>0.002</v>
      </c>
      <c r="D228" s="1" t="n">
        <v>0.0147</v>
      </c>
      <c r="E228" s="1" t="n">
        <v>-0.0068</v>
      </c>
      <c r="F228" s="1" t="n">
        <v>0.0133</v>
      </c>
      <c r="G228" s="1" t="n">
        <v>-0.0024205</v>
      </c>
      <c r="H228" s="1" t="n">
        <v>0.008461</v>
      </c>
      <c r="J228" s="1" t="n">
        <f aca="false">C228-D228</f>
        <v>-0.0127</v>
      </c>
      <c r="K228" s="1" t="n">
        <f aca="false">G228-H228</f>
        <v>-0.0108815</v>
      </c>
    </row>
    <row r="229" customFormat="false" ht="13.8" hidden="false" customHeight="false" outlineLevel="0" collapsed="false">
      <c r="A229" s="5" t="n">
        <v>32843</v>
      </c>
      <c r="B229" s="1" t="n">
        <v>0.0116</v>
      </c>
      <c r="C229" s="1" t="n">
        <v>0.0156</v>
      </c>
      <c r="D229" s="1" t="n">
        <v>0.0093</v>
      </c>
      <c r="E229" s="1" t="n">
        <v>-0.0125</v>
      </c>
      <c r="F229" s="1" t="n">
        <v>0.0163</v>
      </c>
      <c r="G229" s="1" t="n">
        <v>0.005049</v>
      </c>
      <c r="H229" s="1" t="n">
        <v>0.003433</v>
      </c>
      <c r="J229" s="1" t="n">
        <f aca="false">C229-D229</f>
        <v>0.0063</v>
      </c>
      <c r="K229" s="1" t="n">
        <f aca="false">G229-H229</f>
        <v>0.001616</v>
      </c>
    </row>
    <row r="230" customFormat="false" ht="13.8" hidden="false" customHeight="false" outlineLevel="0" collapsed="false">
      <c r="A230" s="5" t="n">
        <v>32874</v>
      </c>
      <c r="B230" s="1" t="n">
        <v>-0.0785</v>
      </c>
      <c r="C230" s="1" t="n">
        <v>-0.079</v>
      </c>
      <c r="D230" s="1" t="n">
        <v>-0.0835</v>
      </c>
      <c r="E230" s="1" t="n">
        <v>-0.0809</v>
      </c>
      <c r="F230" s="1" t="n">
        <v>-0.0762</v>
      </c>
      <c r="G230" s="1" t="n">
        <v>-0.0814705</v>
      </c>
      <c r="H230" s="1" t="n">
        <v>-0.09</v>
      </c>
      <c r="J230" s="1" t="n">
        <f aca="false">C230-D230</f>
        <v>0.0045</v>
      </c>
      <c r="K230" s="1" t="n">
        <f aca="false">G230-H230</f>
        <v>0.0085295</v>
      </c>
    </row>
    <row r="231" customFormat="false" ht="13.8" hidden="false" customHeight="false" outlineLevel="0" collapsed="false">
      <c r="A231" s="5" t="n">
        <v>32905</v>
      </c>
      <c r="B231" s="1" t="n">
        <v>0.0111</v>
      </c>
      <c r="C231" s="1" t="n">
        <v>0.0202</v>
      </c>
      <c r="D231" s="1" t="n">
        <v>0.0008</v>
      </c>
      <c r="E231" s="1" t="n">
        <v>0.0217</v>
      </c>
      <c r="F231" s="1" t="n">
        <v>0.0088</v>
      </c>
      <c r="G231" s="1" t="n">
        <v>0.0184505</v>
      </c>
      <c r="H231" s="1" t="n">
        <v>0.012054</v>
      </c>
      <c r="J231" s="1" t="n">
        <f aca="false">C231-D231</f>
        <v>0.0194</v>
      </c>
      <c r="K231" s="1" t="n">
        <f aca="false">G231-H231</f>
        <v>0.0063965</v>
      </c>
    </row>
    <row r="232" customFormat="false" ht="13.8" hidden="false" customHeight="false" outlineLevel="0" collapsed="false">
      <c r="A232" s="5" t="n">
        <v>32933</v>
      </c>
      <c r="B232" s="1" t="n">
        <v>0.0183</v>
      </c>
      <c r="C232" s="1" t="n">
        <v>-0.0009</v>
      </c>
      <c r="D232" s="1" t="n">
        <v>0.0351</v>
      </c>
      <c r="E232" s="1" t="n">
        <v>0.0265</v>
      </c>
      <c r="F232" s="1" t="n">
        <v>0.016</v>
      </c>
      <c r="G232" s="1" t="n">
        <v>0.0065745</v>
      </c>
      <c r="H232" s="1" t="n">
        <v>0.0357755</v>
      </c>
      <c r="J232" s="1" t="n">
        <f aca="false">C232-D232</f>
        <v>-0.036</v>
      </c>
      <c r="K232" s="1" t="n">
        <f aca="false">G232-H232</f>
        <v>-0.029201</v>
      </c>
    </row>
    <row r="233" customFormat="false" ht="13.8" hidden="false" customHeight="false" outlineLevel="0" collapsed="false">
      <c r="A233" s="5" t="n">
        <v>32964</v>
      </c>
      <c r="B233" s="1" t="n">
        <v>-0.0336</v>
      </c>
      <c r="C233" s="1" t="n">
        <v>-0.0516</v>
      </c>
      <c r="D233" s="1" t="n">
        <v>-0.0182</v>
      </c>
      <c r="E233" s="1" t="n">
        <v>-0.0325</v>
      </c>
      <c r="F233" s="1" t="n">
        <v>-0.0309</v>
      </c>
      <c r="G233" s="1" t="n">
        <v>-0.0511505</v>
      </c>
      <c r="H233" s="1" t="n">
        <v>-0.0252285</v>
      </c>
      <c r="J233" s="1" t="n">
        <f aca="false">C233-D233</f>
        <v>-0.0334</v>
      </c>
      <c r="K233" s="1" t="n">
        <f aca="false">G233-H233</f>
        <v>-0.025922</v>
      </c>
    </row>
    <row r="234" customFormat="false" ht="13.8" hidden="false" customHeight="false" outlineLevel="0" collapsed="false">
      <c r="A234" s="5" t="n">
        <v>32994</v>
      </c>
      <c r="B234" s="1" t="n">
        <v>0.0842</v>
      </c>
      <c r="C234" s="1" t="n">
        <v>0.0639</v>
      </c>
      <c r="D234" s="1" t="n">
        <v>0.0991</v>
      </c>
      <c r="E234" s="1" t="n">
        <v>0.0556</v>
      </c>
      <c r="F234" s="1" t="n">
        <v>0.0877</v>
      </c>
      <c r="G234" s="1" t="n">
        <v>0.051456</v>
      </c>
      <c r="H234" s="1" t="n">
        <v>0.0897785</v>
      </c>
      <c r="J234" s="1" t="n">
        <f aca="false">C234-D234</f>
        <v>-0.0352</v>
      </c>
      <c r="K234" s="1" t="n">
        <f aca="false">G234-H234</f>
        <v>-0.0383225</v>
      </c>
    </row>
    <row r="235" customFormat="false" ht="13.8" hidden="false" customHeight="false" outlineLevel="0" collapsed="false">
      <c r="A235" s="5" t="n">
        <v>33025</v>
      </c>
      <c r="B235" s="1" t="n">
        <v>-0.0109</v>
      </c>
      <c r="C235" s="1" t="n">
        <v>-0.0202</v>
      </c>
      <c r="D235" s="1" t="n">
        <v>0.0062</v>
      </c>
      <c r="E235" s="1" t="n">
        <v>-0.0053</v>
      </c>
      <c r="F235" s="1" t="n">
        <v>-0.0126</v>
      </c>
      <c r="G235" s="1" t="n">
        <v>-0.0140275</v>
      </c>
      <c r="H235" s="1" t="n">
        <v>0.0052685</v>
      </c>
      <c r="J235" s="1" t="n">
        <f aca="false">C235-D235</f>
        <v>-0.0264</v>
      </c>
      <c r="K235" s="1" t="n">
        <f aca="false">G235-H235</f>
        <v>-0.019296</v>
      </c>
    </row>
    <row r="236" customFormat="false" ht="13.8" hidden="false" customHeight="false" outlineLevel="0" collapsed="false">
      <c r="A236" s="5" t="n">
        <v>33055</v>
      </c>
      <c r="B236" s="1" t="n">
        <v>-0.019</v>
      </c>
      <c r="C236" s="1" t="n">
        <v>-0.0278</v>
      </c>
      <c r="D236" s="1" t="n">
        <v>-0.0234</v>
      </c>
      <c r="E236" s="1" t="n">
        <v>-0.0493</v>
      </c>
      <c r="F236" s="1" t="n">
        <v>-0.0131</v>
      </c>
      <c r="G236" s="1" t="n">
        <v>-0.036798</v>
      </c>
      <c r="H236" s="1" t="n">
        <v>-0.036465</v>
      </c>
      <c r="J236" s="1" t="n">
        <f aca="false">C236-D236</f>
        <v>-0.0044</v>
      </c>
      <c r="K236" s="1" t="n">
        <f aca="false">G236-H236</f>
        <v>-0.000333</v>
      </c>
    </row>
    <row r="237" customFormat="false" ht="13.8" hidden="false" customHeight="false" outlineLevel="0" collapsed="false">
      <c r="A237" s="5" t="n">
        <v>33086</v>
      </c>
      <c r="B237" s="1" t="n">
        <v>-0.1015</v>
      </c>
      <c r="C237" s="1" t="n">
        <v>-0.1083</v>
      </c>
      <c r="D237" s="1" t="n">
        <v>-0.1084</v>
      </c>
      <c r="E237" s="1" t="n">
        <v>-0.1385</v>
      </c>
      <c r="F237" s="1" t="n">
        <v>-0.0955</v>
      </c>
      <c r="G237" s="1" t="n">
        <v>-0.112785</v>
      </c>
      <c r="H237" s="1" t="n">
        <v>-0.1292335</v>
      </c>
      <c r="J237" s="1" t="n">
        <f aca="false">C237-D237</f>
        <v>0.000100000000000003</v>
      </c>
      <c r="K237" s="1" t="n">
        <f aca="false">G237-H237</f>
        <v>0.0164485</v>
      </c>
    </row>
    <row r="238" customFormat="false" ht="13.8" hidden="false" customHeight="false" outlineLevel="0" collapsed="false">
      <c r="A238" s="5" t="n">
        <v>33117</v>
      </c>
      <c r="B238" s="1" t="n">
        <v>-0.0612</v>
      </c>
      <c r="C238" s="1" t="n">
        <v>-0.0727</v>
      </c>
      <c r="D238" s="1" t="n">
        <v>-0.0673</v>
      </c>
      <c r="E238" s="1" t="n">
        <v>-0.0955</v>
      </c>
      <c r="F238" s="1" t="n">
        <v>-0.0551</v>
      </c>
      <c r="G238" s="1" t="n">
        <v>-0.0794335</v>
      </c>
      <c r="H238" s="1" t="n">
        <v>-0.085876</v>
      </c>
      <c r="J238" s="1" t="n">
        <f aca="false">C238-D238</f>
        <v>-0.0054</v>
      </c>
      <c r="K238" s="1" t="n">
        <f aca="false">G238-H238</f>
        <v>0.00644249999999999</v>
      </c>
    </row>
    <row r="239" customFormat="false" ht="13.8" hidden="false" customHeight="false" outlineLevel="0" collapsed="false">
      <c r="A239" s="5" t="n">
        <v>33147</v>
      </c>
      <c r="B239" s="1" t="n">
        <v>-0.0192</v>
      </c>
      <c r="C239" s="1" t="n">
        <v>-0.0095</v>
      </c>
      <c r="D239" s="1" t="n">
        <v>-0.0068</v>
      </c>
      <c r="E239" s="1" t="n">
        <v>-0.0706</v>
      </c>
      <c r="F239" s="1" t="n">
        <v>-0.0103</v>
      </c>
      <c r="G239" s="1" t="n">
        <v>-0.0333465</v>
      </c>
      <c r="H239" s="1" t="n">
        <v>-0.0343115</v>
      </c>
      <c r="J239" s="1" t="n">
        <f aca="false">C239-D239</f>
        <v>-0.0027</v>
      </c>
      <c r="K239" s="1" t="n">
        <f aca="false">G239-H239</f>
        <v>0.000965000000000001</v>
      </c>
    </row>
    <row r="240" customFormat="false" ht="13.8" hidden="false" customHeight="false" outlineLevel="0" collapsed="false">
      <c r="A240" s="5" t="n">
        <v>33178</v>
      </c>
      <c r="B240" s="1" t="n">
        <v>0.0635</v>
      </c>
      <c r="C240" s="1" t="n">
        <v>0.0456</v>
      </c>
      <c r="D240" s="1" t="n">
        <v>0.0692</v>
      </c>
      <c r="E240" s="1" t="n">
        <v>0.0411</v>
      </c>
      <c r="F240" s="1" t="n">
        <v>0.0619</v>
      </c>
      <c r="G240" s="1" t="n">
        <v>0.0450605</v>
      </c>
      <c r="H240" s="1" t="n">
        <v>0.076058</v>
      </c>
      <c r="J240" s="1" t="n">
        <f aca="false">C240-D240</f>
        <v>-0.0236</v>
      </c>
      <c r="K240" s="1" t="n">
        <f aca="false">G240-H240</f>
        <v>-0.0309975</v>
      </c>
    </row>
    <row r="241" customFormat="false" ht="13.8" hidden="false" customHeight="false" outlineLevel="0" collapsed="false">
      <c r="A241" s="5" t="n">
        <v>33208</v>
      </c>
      <c r="B241" s="1" t="n">
        <v>0.0246</v>
      </c>
      <c r="C241" s="1" t="n">
        <v>0.0142</v>
      </c>
      <c r="D241" s="1" t="n">
        <v>0.0322</v>
      </c>
      <c r="E241" s="1" t="n">
        <v>0.009</v>
      </c>
      <c r="F241" s="1" t="n">
        <v>0.0227</v>
      </c>
      <c r="G241" s="1" t="n">
        <v>0.017037</v>
      </c>
      <c r="H241" s="1" t="n">
        <v>0.0340565</v>
      </c>
      <c r="J241" s="1" t="n">
        <f aca="false">C241-D241</f>
        <v>-0.018</v>
      </c>
      <c r="K241" s="1" t="n">
        <f aca="false">G241-H241</f>
        <v>-0.0170195</v>
      </c>
    </row>
    <row r="242" customFormat="false" ht="13.8" hidden="false" customHeight="false" outlineLevel="0" collapsed="false">
      <c r="A242" s="5" t="n">
        <v>33239</v>
      </c>
      <c r="B242" s="1" t="n">
        <v>0.0469</v>
      </c>
      <c r="C242" s="1" t="n">
        <v>0.0448</v>
      </c>
      <c r="D242" s="1" t="n">
        <v>0.06</v>
      </c>
      <c r="E242" s="1" t="n">
        <v>0.0747</v>
      </c>
      <c r="F242" s="1" t="n">
        <v>0.0413</v>
      </c>
      <c r="G242" s="1" t="n">
        <v>0.0569085</v>
      </c>
      <c r="H242" s="1" t="n">
        <v>0.0729145</v>
      </c>
      <c r="J242" s="1" t="n">
        <f aca="false">C242-D242</f>
        <v>-0.0152</v>
      </c>
      <c r="K242" s="1" t="n">
        <f aca="false">G242-H242</f>
        <v>-0.016006</v>
      </c>
    </row>
    <row r="243" customFormat="false" ht="13.8" hidden="false" customHeight="false" outlineLevel="0" collapsed="false">
      <c r="A243" s="5" t="n">
        <v>33270</v>
      </c>
      <c r="B243" s="1" t="n">
        <v>0.0719</v>
      </c>
      <c r="C243" s="1" t="n">
        <v>0.0724</v>
      </c>
      <c r="D243" s="1" t="n">
        <v>0.0769</v>
      </c>
      <c r="E243" s="1" t="n">
        <v>0.1132</v>
      </c>
      <c r="F243" s="1" t="n">
        <v>0.066</v>
      </c>
      <c r="G243" s="1" t="n">
        <v>0.087256</v>
      </c>
      <c r="H243" s="1" t="n">
        <v>0.093089</v>
      </c>
      <c r="J243" s="1" t="n">
        <f aca="false">C243-D243</f>
        <v>-0.00449999999999999</v>
      </c>
      <c r="K243" s="1" t="n">
        <f aca="false">G243-H243</f>
        <v>-0.005833</v>
      </c>
    </row>
    <row r="244" customFormat="false" ht="13.8" hidden="false" customHeight="false" outlineLevel="0" collapsed="false">
      <c r="A244" s="5" t="n">
        <v>33298</v>
      </c>
      <c r="B244" s="1" t="n">
        <v>0.0265</v>
      </c>
      <c r="C244" s="1" t="n">
        <v>0.0278</v>
      </c>
      <c r="D244" s="1" t="n">
        <v>0.0397</v>
      </c>
      <c r="E244" s="1" t="n">
        <v>0.0707</v>
      </c>
      <c r="F244" s="1" t="n">
        <v>0.0215</v>
      </c>
      <c r="G244" s="1" t="n">
        <v>0.0414315</v>
      </c>
      <c r="H244" s="1" t="n">
        <v>0.055343</v>
      </c>
      <c r="J244" s="1" t="n">
        <f aca="false">C244-D244</f>
        <v>-0.0119</v>
      </c>
      <c r="K244" s="1" t="n">
        <f aca="false">G244-H244</f>
        <v>-0.0139115</v>
      </c>
    </row>
    <row r="245" customFormat="false" ht="13.8" hidden="false" customHeight="false" outlineLevel="0" collapsed="false">
      <c r="A245" s="5" t="n">
        <v>33329</v>
      </c>
      <c r="B245" s="1" t="n">
        <v>-0.0028</v>
      </c>
      <c r="C245" s="1" t="n">
        <v>0.0002</v>
      </c>
      <c r="D245" s="1" t="n">
        <v>-0.0084</v>
      </c>
      <c r="E245" s="1" t="n">
        <v>0.0026</v>
      </c>
      <c r="F245" s="1" t="n">
        <v>-0.0028</v>
      </c>
      <c r="G245" s="1" t="n">
        <v>0.004775</v>
      </c>
      <c r="H245" s="1" t="n">
        <v>-0.0102395</v>
      </c>
      <c r="J245" s="1" t="n">
        <f aca="false">C245-D245</f>
        <v>0.0086</v>
      </c>
      <c r="K245" s="1" t="n">
        <f aca="false">G245-H245</f>
        <v>0.0150145</v>
      </c>
    </row>
    <row r="246" customFormat="false" ht="13.8" hidden="false" customHeight="false" outlineLevel="0" collapsed="false">
      <c r="A246" s="5" t="n">
        <v>33359</v>
      </c>
      <c r="B246" s="1" t="n">
        <v>0.0365</v>
      </c>
      <c r="C246" s="1" t="n">
        <v>0.0443</v>
      </c>
      <c r="D246" s="1" t="n">
        <v>0.0422</v>
      </c>
      <c r="E246" s="1" t="n">
        <v>0.0342</v>
      </c>
      <c r="F246" s="1" t="n">
        <v>0.0364</v>
      </c>
      <c r="G246" s="1" t="n">
        <v>0.035281</v>
      </c>
      <c r="H246" s="1" t="n">
        <v>0.0404805</v>
      </c>
      <c r="J246" s="1" t="n">
        <f aca="false">C246-D246</f>
        <v>0.0021</v>
      </c>
      <c r="K246" s="1" t="n">
        <f aca="false">G246-H246</f>
        <v>-0.0051995</v>
      </c>
    </row>
    <row r="247" customFormat="false" ht="13.8" hidden="false" customHeight="false" outlineLevel="0" collapsed="false">
      <c r="A247" s="5" t="n">
        <v>33390</v>
      </c>
      <c r="B247" s="1" t="n">
        <v>-0.0494</v>
      </c>
      <c r="C247" s="1" t="n">
        <v>-0.042</v>
      </c>
      <c r="D247" s="1" t="n">
        <v>-0.0533</v>
      </c>
      <c r="E247" s="1" t="n">
        <v>-0.0478</v>
      </c>
      <c r="F247" s="1" t="n">
        <v>-0.0502</v>
      </c>
      <c r="G247" s="1" t="n">
        <v>-0.043408</v>
      </c>
      <c r="H247" s="1" t="n">
        <v>-0.0549055</v>
      </c>
      <c r="J247" s="1" t="n">
        <f aca="false">C247-D247</f>
        <v>0.0113</v>
      </c>
      <c r="K247" s="1" t="n">
        <f aca="false">G247-H247</f>
        <v>0.0114975</v>
      </c>
    </row>
    <row r="248" customFormat="false" ht="13.8" hidden="false" customHeight="false" outlineLevel="0" collapsed="false">
      <c r="A248" s="5" t="n">
        <v>33420</v>
      </c>
      <c r="B248" s="1" t="n">
        <v>0.0424</v>
      </c>
      <c r="C248" s="1" t="n">
        <v>0.0336</v>
      </c>
      <c r="D248" s="1" t="n">
        <v>0.0485</v>
      </c>
      <c r="E248" s="1" t="n">
        <v>0.0293</v>
      </c>
      <c r="F248" s="1" t="n">
        <v>0.0427</v>
      </c>
      <c r="G248" s="1" t="n">
        <v>0.0305805</v>
      </c>
      <c r="H248" s="1" t="n">
        <v>0.0438175</v>
      </c>
      <c r="J248" s="1" t="n">
        <f aca="false">C248-D248</f>
        <v>-0.0149</v>
      </c>
      <c r="K248" s="1" t="n">
        <f aca="false">G248-H248</f>
        <v>-0.013237</v>
      </c>
    </row>
    <row r="249" customFormat="false" ht="13.8" hidden="false" customHeight="false" outlineLevel="0" collapsed="false">
      <c r="A249" s="5" t="n">
        <v>33451</v>
      </c>
      <c r="B249" s="1" t="n">
        <v>0.0232</v>
      </c>
      <c r="C249" s="1" t="n">
        <v>0.0193</v>
      </c>
      <c r="D249" s="1" t="n">
        <v>0.0296</v>
      </c>
      <c r="E249" s="1" t="n">
        <v>0.0271</v>
      </c>
      <c r="F249" s="1" t="n">
        <v>0.0214</v>
      </c>
      <c r="G249" s="1" t="n">
        <v>0.02664</v>
      </c>
      <c r="H249" s="1" t="n">
        <v>0.0343955</v>
      </c>
      <c r="J249" s="1" t="n">
        <f aca="false">C249-D249</f>
        <v>-0.0103</v>
      </c>
      <c r="K249" s="1" t="n">
        <f aca="false">G249-H249</f>
        <v>-0.0077555</v>
      </c>
    </row>
    <row r="250" customFormat="false" ht="13.8" hidden="false" customHeight="false" outlineLevel="0" collapsed="false">
      <c r="A250" s="5" t="n">
        <v>33482</v>
      </c>
      <c r="B250" s="1" t="n">
        <v>-0.0159</v>
      </c>
      <c r="C250" s="1" t="n">
        <v>-0.0225</v>
      </c>
      <c r="D250" s="1" t="n">
        <v>-0.0242</v>
      </c>
      <c r="E250" s="1" t="n">
        <v>0.0085</v>
      </c>
      <c r="F250" s="1" t="n">
        <v>-0.0185</v>
      </c>
      <c r="G250" s="1" t="n">
        <v>-0.0197865</v>
      </c>
      <c r="H250" s="1" t="n">
        <v>-0.0090125</v>
      </c>
      <c r="J250" s="1" t="n">
        <f aca="false">C250-D250</f>
        <v>0.0017</v>
      </c>
      <c r="K250" s="1" t="n">
        <f aca="false">G250-H250</f>
        <v>-0.010774</v>
      </c>
    </row>
    <row r="251" customFormat="false" ht="13.8" hidden="false" customHeight="false" outlineLevel="0" collapsed="false">
      <c r="A251" s="5" t="n">
        <v>33512</v>
      </c>
      <c r="B251" s="1" t="n">
        <v>0.0129</v>
      </c>
      <c r="C251" s="1" t="n">
        <v>0.014</v>
      </c>
      <c r="D251" s="1" t="n">
        <v>0.012</v>
      </c>
      <c r="E251" s="1" t="n">
        <v>0.029</v>
      </c>
      <c r="F251" s="1" t="n">
        <v>0.011</v>
      </c>
      <c r="G251" s="1" t="n">
        <v>0.013844</v>
      </c>
      <c r="H251" s="1" t="n">
        <v>0.0185875</v>
      </c>
      <c r="J251" s="1" t="n">
        <f aca="false">C251-D251</f>
        <v>0.002</v>
      </c>
      <c r="K251" s="1" t="n">
        <f aca="false">G251-H251</f>
        <v>-0.0047435</v>
      </c>
    </row>
    <row r="252" customFormat="false" ht="13.8" hidden="false" customHeight="false" outlineLevel="0" collapsed="false">
      <c r="A252" s="5" t="n">
        <v>33543</v>
      </c>
      <c r="B252" s="1" t="n">
        <v>-0.0419</v>
      </c>
      <c r="C252" s="1" t="n">
        <v>-0.0595</v>
      </c>
      <c r="D252" s="1" t="n">
        <v>-0.0305</v>
      </c>
      <c r="E252" s="1" t="n">
        <v>-0.0467</v>
      </c>
      <c r="F252" s="1" t="n">
        <v>-0.0401</v>
      </c>
      <c r="G252" s="1" t="n">
        <v>-0.059604</v>
      </c>
      <c r="H252" s="1" t="n">
        <v>-0.040703</v>
      </c>
      <c r="J252" s="1" t="n">
        <f aca="false">C252-D252</f>
        <v>-0.029</v>
      </c>
      <c r="K252" s="1" t="n">
        <f aca="false">G252-H252</f>
        <v>-0.018901</v>
      </c>
    </row>
    <row r="253" customFormat="false" ht="13.8" hidden="false" customHeight="false" outlineLevel="0" collapsed="false">
      <c r="A253" s="5" t="n">
        <v>33573</v>
      </c>
      <c r="B253" s="1" t="n">
        <v>0.1084</v>
      </c>
      <c r="C253" s="1" t="n">
        <v>0.0837</v>
      </c>
      <c r="D253" s="1" t="n">
        <v>0.1381</v>
      </c>
      <c r="E253" s="1" t="n">
        <v>0.0556</v>
      </c>
      <c r="F253" s="1" t="n">
        <v>0.1126</v>
      </c>
      <c r="G253" s="1" t="n">
        <v>0.0787575</v>
      </c>
      <c r="H253" s="1" t="n">
        <v>0.120498</v>
      </c>
      <c r="J253" s="1" t="n">
        <f aca="false">C253-D253</f>
        <v>-0.0544</v>
      </c>
      <c r="K253" s="1" t="n">
        <f aca="false">G253-H253</f>
        <v>-0.0417405</v>
      </c>
    </row>
    <row r="254" customFormat="false" ht="13.8" hidden="false" customHeight="false" outlineLevel="0" collapsed="false">
      <c r="A254" s="5" t="n">
        <v>33604</v>
      </c>
      <c r="B254" s="1" t="n">
        <v>-0.0059</v>
      </c>
      <c r="C254" s="1" t="n">
        <v>0.0497</v>
      </c>
      <c r="D254" s="1" t="n">
        <v>-0.0196</v>
      </c>
      <c r="E254" s="1" t="n">
        <v>0.1082</v>
      </c>
      <c r="F254" s="1" t="n">
        <v>-0.0215</v>
      </c>
      <c r="G254" s="1" t="n">
        <v>0.069572</v>
      </c>
      <c r="H254" s="1" t="n">
        <v>0.022436</v>
      </c>
      <c r="J254" s="1" t="n">
        <f aca="false">C254-D254</f>
        <v>0.0693</v>
      </c>
      <c r="K254" s="1" t="n">
        <f aca="false">G254-H254</f>
        <v>0.047136</v>
      </c>
    </row>
    <row r="255" customFormat="false" ht="13.8" hidden="false" customHeight="false" outlineLevel="0" collapsed="false">
      <c r="A255" s="5" t="n">
        <v>33635</v>
      </c>
      <c r="B255" s="1" t="n">
        <v>0.0109</v>
      </c>
      <c r="C255" s="1" t="n">
        <v>0.0665</v>
      </c>
      <c r="D255" s="1" t="n">
        <v>0.0007</v>
      </c>
      <c r="E255" s="1" t="n">
        <v>0.0317</v>
      </c>
      <c r="F255" s="1" t="n">
        <v>0.0072</v>
      </c>
      <c r="G255" s="1" t="n">
        <v>0.06724</v>
      </c>
      <c r="H255" s="1" t="n">
        <v>0.002491</v>
      </c>
      <c r="J255" s="1" t="n">
        <f aca="false">C255-D255</f>
        <v>0.0658</v>
      </c>
      <c r="K255" s="1" t="n">
        <f aca="false">G255-H255</f>
        <v>0.064749</v>
      </c>
    </row>
    <row r="256" customFormat="false" ht="13.8" hidden="false" customHeight="false" outlineLevel="0" collapsed="false">
      <c r="A256" s="5" t="n">
        <v>33664</v>
      </c>
      <c r="B256" s="1" t="n">
        <v>-0.0266</v>
      </c>
      <c r="C256" s="1" t="n">
        <v>-0.0137</v>
      </c>
      <c r="D256" s="1" t="n">
        <v>-0.0336</v>
      </c>
      <c r="E256" s="1" t="n">
        <v>-0.0366</v>
      </c>
      <c r="F256" s="1" t="n">
        <v>-0.0241</v>
      </c>
      <c r="G256" s="1" t="n">
        <v>-0.012805</v>
      </c>
      <c r="H256" s="1" t="n">
        <v>-0.048371</v>
      </c>
      <c r="J256" s="1" t="n">
        <f aca="false">C256-D256</f>
        <v>0.0199</v>
      </c>
      <c r="K256" s="1" t="n">
        <f aca="false">G256-H256</f>
        <v>0.035566</v>
      </c>
    </row>
    <row r="257" customFormat="false" ht="13.8" hidden="false" customHeight="false" outlineLevel="0" collapsed="false">
      <c r="A257" s="5" t="n">
        <v>33695</v>
      </c>
      <c r="B257" s="1" t="n">
        <v>0.0107</v>
      </c>
      <c r="C257" s="1" t="n">
        <v>0.0276</v>
      </c>
      <c r="D257" s="1" t="n">
        <v>-0.0059</v>
      </c>
      <c r="E257" s="1" t="n">
        <v>-0.0515</v>
      </c>
      <c r="F257" s="1" t="n">
        <v>0.0231</v>
      </c>
      <c r="G257" s="1" t="n">
        <v>0.0133035</v>
      </c>
      <c r="H257" s="1" t="n">
        <v>-0.0300595</v>
      </c>
      <c r="J257" s="1" t="n">
        <f aca="false">C257-D257</f>
        <v>0.0335</v>
      </c>
      <c r="K257" s="1" t="n">
        <f aca="false">G257-H257</f>
        <v>0.043363</v>
      </c>
    </row>
    <row r="258" customFormat="false" ht="13.8" hidden="false" customHeight="false" outlineLevel="0" collapsed="false">
      <c r="A258" s="5" t="n">
        <v>33725</v>
      </c>
      <c r="B258" s="1" t="n">
        <v>0.003</v>
      </c>
      <c r="C258" s="1" t="n">
        <v>0.0033</v>
      </c>
      <c r="D258" s="1" t="n">
        <v>0.0049</v>
      </c>
      <c r="E258" s="1" t="n">
        <v>-0.0013</v>
      </c>
      <c r="F258" s="1" t="n">
        <v>0.0034</v>
      </c>
      <c r="G258" s="1" t="n">
        <v>0.009807</v>
      </c>
      <c r="H258" s="1" t="n">
        <v>-0.002066</v>
      </c>
      <c r="J258" s="1" t="n">
        <f aca="false">C258-D258</f>
        <v>-0.0016</v>
      </c>
      <c r="K258" s="1" t="n">
        <f aca="false">G258-H258</f>
        <v>0.011873</v>
      </c>
    </row>
    <row r="259" customFormat="false" ht="13.8" hidden="false" customHeight="false" outlineLevel="0" collapsed="false">
      <c r="A259" s="5" t="n">
        <v>33756</v>
      </c>
      <c r="B259" s="1" t="n">
        <v>-0.0234</v>
      </c>
      <c r="C259" s="1" t="n">
        <v>-0.0042</v>
      </c>
      <c r="D259" s="1" t="n">
        <v>-0.0304</v>
      </c>
      <c r="E259" s="1" t="n">
        <v>-0.0496</v>
      </c>
      <c r="F259" s="1" t="n">
        <v>-0.0193</v>
      </c>
      <c r="G259" s="1" t="n">
        <v>-0.0139065</v>
      </c>
      <c r="H259" s="1" t="n">
        <v>-0.04628</v>
      </c>
      <c r="J259" s="1" t="n">
        <f aca="false">C259-D259</f>
        <v>0.0262</v>
      </c>
      <c r="K259" s="1" t="n">
        <f aca="false">G259-H259</f>
        <v>0.0323735</v>
      </c>
    </row>
    <row r="260" customFormat="false" ht="13.8" hidden="false" customHeight="false" outlineLevel="0" collapsed="false">
      <c r="A260" s="5" t="n">
        <v>33786</v>
      </c>
      <c r="B260" s="1" t="n">
        <v>0.0377</v>
      </c>
      <c r="C260" s="1" t="n">
        <v>0.0215</v>
      </c>
      <c r="D260" s="1" t="n">
        <v>0.039</v>
      </c>
      <c r="E260" s="1" t="n">
        <v>0.0303</v>
      </c>
      <c r="F260" s="1" t="n">
        <v>0.0384</v>
      </c>
      <c r="G260" s="1" t="n">
        <v>0.0265415</v>
      </c>
      <c r="H260" s="1" t="n">
        <v>0.0321715</v>
      </c>
      <c r="J260" s="1" t="n">
        <f aca="false">C260-D260</f>
        <v>-0.0175</v>
      </c>
      <c r="K260" s="1" t="n">
        <f aca="false">G260-H260</f>
        <v>-0.00563</v>
      </c>
    </row>
    <row r="261" customFormat="false" ht="13.8" hidden="false" customHeight="false" outlineLevel="0" collapsed="false">
      <c r="A261" s="5" t="n">
        <v>33817</v>
      </c>
      <c r="B261" s="1" t="n">
        <v>-0.0238</v>
      </c>
      <c r="C261" s="1" t="n">
        <v>-0.0478</v>
      </c>
      <c r="D261" s="1" t="n">
        <v>-0.0164</v>
      </c>
      <c r="E261" s="1" t="n">
        <v>-0.0321</v>
      </c>
      <c r="F261" s="1" t="n">
        <v>-0.0224</v>
      </c>
      <c r="G261" s="1" t="n">
        <v>-0.040664</v>
      </c>
      <c r="H261" s="1" t="n">
        <v>-0.02962</v>
      </c>
      <c r="J261" s="1" t="n">
        <f aca="false">C261-D261</f>
        <v>-0.0314</v>
      </c>
      <c r="K261" s="1" t="n">
        <f aca="false">G261-H261</f>
        <v>-0.011044</v>
      </c>
    </row>
    <row r="262" customFormat="false" ht="13.8" hidden="false" customHeight="false" outlineLevel="0" collapsed="false">
      <c r="A262" s="5" t="n">
        <v>33848</v>
      </c>
      <c r="B262" s="1" t="n">
        <v>0.0119</v>
      </c>
      <c r="C262" s="1" t="n">
        <v>0.0093</v>
      </c>
      <c r="D262" s="1" t="n">
        <v>0.0134</v>
      </c>
      <c r="E262" s="1" t="n">
        <v>0.018</v>
      </c>
      <c r="F262" s="1" t="n">
        <v>0.0104</v>
      </c>
      <c r="G262" s="1" t="n">
        <v>0.0100605</v>
      </c>
      <c r="H262" s="1" t="n">
        <v>0.012615</v>
      </c>
      <c r="J262" s="1" t="n">
        <f aca="false">C262-D262</f>
        <v>-0.0041</v>
      </c>
      <c r="K262" s="1" t="n">
        <f aca="false">G262-H262</f>
        <v>-0.0025545</v>
      </c>
    </row>
    <row r="263" customFormat="false" ht="13.8" hidden="false" customHeight="false" outlineLevel="0" collapsed="false">
      <c r="A263" s="5" t="n">
        <v>33878</v>
      </c>
      <c r="B263" s="1" t="n">
        <v>0.0102</v>
      </c>
      <c r="C263" s="1" t="n">
        <v>0.0093</v>
      </c>
      <c r="D263" s="1" t="n">
        <v>0.0232</v>
      </c>
      <c r="E263" s="1" t="n">
        <v>0.0263</v>
      </c>
      <c r="F263" s="1" t="n">
        <v>0.0052</v>
      </c>
      <c r="G263" s="1" t="n">
        <v>0.0123235</v>
      </c>
      <c r="H263" s="1" t="n">
        <v>0.032107</v>
      </c>
      <c r="J263" s="1" t="n">
        <f aca="false">C263-D263</f>
        <v>-0.0139</v>
      </c>
      <c r="K263" s="1" t="n">
        <f aca="false">G263-H263</f>
        <v>-0.0197835</v>
      </c>
    </row>
    <row r="264" customFormat="false" ht="13.8" hidden="false" customHeight="false" outlineLevel="0" collapsed="false">
      <c r="A264" s="5" t="n">
        <v>33909</v>
      </c>
      <c r="B264" s="1" t="n">
        <v>0.0413</v>
      </c>
      <c r="C264" s="1" t="n">
        <v>0.0474</v>
      </c>
      <c r="D264" s="1" t="n">
        <v>0.0477</v>
      </c>
      <c r="E264" s="1" t="n">
        <v>0.0856</v>
      </c>
      <c r="F264" s="1" t="n">
        <v>0.0339</v>
      </c>
      <c r="G264" s="1" t="n">
        <v>0.055077</v>
      </c>
      <c r="H264" s="1" t="n">
        <v>0.0685325</v>
      </c>
      <c r="J264" s="1" t="n">
        <f aca="false">C264-D264</f>
        <v>-0.000300000000000002</v>
      </c>
      <c r="K264" s="1" t="n">
        <f aca="false">G264-H264</f>
        <v>-0.0134555</v>
      </c>
    </row>
    <row r="265" customFormat="false" ht="13.8" hidden="false" customHeight="false" outlineLevel="0" collapsed="false">
      <c r="A265" s="5" t="n">
        <v>33939</v>
      </c>
      <c r="B265" s="1" t="n">
        <v>0.0153</v>
      </c>
      <c r="C265" s="1" t="n">
        <v>0.0346</v>
      </c>
      <c r="D265" s="1" t="n">
        <v>0.0059</v>
      </c>
      <c r="E265" s="1" t="n">
        <v>0.0321</v>
      </c>
      <c r="F265" s="1" t="n">
        <v>0.0106</v>
      </c>
      <c r="G265" s="1" t="n">
        <v>0.0399395</v>
      </c>
      <c r="H265" s="1" t="n">
        <v>0.0137495</v>
      </c>
      <c r="J265" s="1" t="n">
        <f aca="false">C265-D265</f>
        <v>0.0287</v>
      </c>
      <c r="K265" s="1" t="n">
        <f aca="false">G265-H265</f>
        <v>0.02619</v>
      </c>
    </row>
    <row r="266" customFormat="false" ht="13.8" hidden="false" customHeight="false" outlineLevel="0" collapsed="false">
      <c r="A266" s="5" t="n">
        <v>33970</v>
      </c>
      <c r="B266" s="1" t="n">
        <v>0.0093</v>
      </c>
      <c r="C266" s="1" t="n">
        <v>0.0544</v>
      </c>
      <c r="D266" s="1" t="n">
        <v>-0.0114</v>
      </c>
      <c r="E266" s="1" t="n">
        <v>0.0438</v>
      </c>
      <c r="F266" s="1" t="n">
        <v>0.0044</v>
      </c>
      <c r="G266" s="1" t="n">
        <v>0.057159</v>
      </c>
      <c r="H266" s="1" t="n">
        <v>-0.0022025</v>
      </c>
      <c r="J266" s="1" t="n">
        <f aca="false">C266-D266</f>
        <v>0.0658</v>
      </c>
      <c r="K266" s="1" t="n">
        <f aca="false">G266-H266</f>
        <v>0.0593615</v>
      </c>
    </row>
    <row r="267" customFormat="false" ht="13.8" hidden="false" customHeight="false" outlineLevel="0" collapsed="false">
      <c r="A267" s="5" t="n">
        <v>34001</v>
      </c>
      <c r="B267" s="1" t="n">
        <v>0.0012</v>
      </c>
      <c r="C267" s="1" t="n">
        <v>0.025</v>
      </c>
      <c r="D267" s="1" t="n">
        <v>-0.0291</v>
      </c>
      <c r="E267" s="1" t="n">
        <v>-0.034</v>
      </c>
      <c r="F267" s="1" t="n">
        <v>0.008</v>
      </c>
      <c r="G267" s="1" t="n">
        <v>0.017985</v>
      </c>
      <c r="H267" s="1" t="n">
        <v>-0.0461845</v>
      </c>
      <c r="J267" s="1" t="n">
        <f aca="false">C267-D267</f>
        <v>0.0541</v>
      </c>
      <c r="K267" s="1" t="n">
        <f aca="false">G267-H267</f>
        <v>0.0641695</v>
      </c>
    </row>
    <row r="268" customFormat="false" ht="13.8" hidden="false" customHeight="false" outlineLevel="0" collapsed="false">
      <c r="A268" s="5" t="n">
        <v>34029</v>
      </c>
      <c r="B268" s="1" t="n">
        <v>0.023</v>
      </c>
      <c r="C268" s="1" t="n">
        <v>0.0264</v>
      </c>
      <c r="D268" s="1" t="n">
        <v>0.0153</v>
      </c>
      <c r="E268" s="1" t="n">
        <v>0.0283</v>
      </c>
      <c r="F268" s="1" t="n">
        <v>0.0197</v>
      </c>
      <c r="G268" s="1" t="n">
        <v>0.028483</v>
      </c>
      <c r="H268" s="1" t="n">
        <v>0.0166425</v>
      </c>
      <c r="J268" s="1" t="n">
        <f aca="false">C268-D268</f>
        <v>0.0111</v>
      </c>
      <c r="K268" s="1" t="n">
        <f aca="false">G268-H268</f>
        <v>0.0118405</v>
      </c>
    </row>
    <row r="269" customFormat="false" ht="13.8" hidden="false" customHeight="false" outlineLevel="0" collapsed="false">
      <c r="A269" s="5" t="n">
        <v>34060</v>
      </c>
      <c r="B269" s="1" t="n">
        <v>-0.0305</v>
      </c>
      <c r="C269" s="1" t="n">
        <v>-0.0164</v>
      </c>
      <c r="D269" s="1" t="n">
        <v>-0.0519</v>
      </c>
      <c r="E269" s="1" t="n">
        <v>-0.0295</v>
      </c>
      <c r="F269" s="1" t="n">
        <v>-0.0305</v>
      </c>
      <c r="G269" s="1" t="n">
        <v>-0.021563</v>
      </c>
      <c r="H269" s="1" t="n">
        <v>-0.0464325</v>
      </c>
      <c r="J269" s="1" t="n">
        <f aca="false">C269-D269</f>
        <v>0.0355</v>
      </c>
      <c r="K269" s="1" t="n">
        <f aca="false">G269-H269</f>
        <v>0.0248695</v>
      </c>
    </row>
    <row r="270" customFormat="false" ht="13.8" hidden="false" customHeight="false" outlineLevel="0" collapsed="false">
      <c r="A270" s="5" t="n">
        <v>34090</v>
      </c>
      <c r="B270" s="1" t="n">
        <v>0.0289</v>
      </c>
      <c r="C270" s="1" t="n">
        <v>0.0087</v>
      </c>
      <c r="D270" s="1" t="n">
        <v>0.0404</v>
      </c>
      <c r="E270" s="1" t="n">
        <v>0.0441</v>
      </c>
      <c r="F270" s="1" t="n">
        <v>0.0254</v>
      </c>
      <c r="G270" s="1" t="n">
        <v>0.0168435</v>
      </c>
      <c r="H270" s="1" t="n">
        <v>0.0510765</v>
      </c>
      <c r="J270" s="1" t="n">
        <f aca="false">C270-D270</f>
        <v>-0.0317</v>
      </c>
      <c r="K270" s="1" t="n">
        <f aca="false">G270-H270</f>
        <v>-0.034233</v>
      </c>
    </row>
    <row r="271" customFormat="false" ht="13.8" hidden="false" customHeight="false" outlineLevel="0" collapsed="false">
      <c r="A271" s="5" t="n">
        <v>34121</v>
      </c>
      <c r="B271" s="1" t="n">
        <v>0.0031</v>
      </c>
      <c r="C271" s="1" t="n">
        <v>0.0288</v>
      </c>
      <c r="D271" s="1" t="n">
        <v>-0.0118</v>
      </c>
      <c r="E271" s="1" t="n">
        <v>0.0014</v>
      </c>
      <c r="F271" s="1" t="n">
        <v>0.0015</v>
      </c>
      <c r="G271" s="1" t="n">
        <v>0.022287</v>
      </c>
      <c r="H271" s="1" t="n">
        <v>-0.005163</v>
      </c>
      <c r="J271" s="1" t="n">
        <f aca="false">C271-D271</f>
        <v>0.0406</v>
      </c>
      <c r="K271" s="1" t="n">
        <f aca="false">G271-H271</f>
        <v>0.02745</v>
      </c>
    </row>
    <row r="272" customFormat="false" ht="13.8" hidden="false" customHeight="false" outlineLevel="0" collapsed="false">
      <c r="A272" s="5" t="n">
        <v>34151</v>
      </c>
      <c r="B272" s="1" t="n">
        <v>-0.0034</v>
      </c>
      <c r="C272" s="1" t="n">
        <v>0.011</v>
      </c>
      <c r="D272" s="1" t="n">
        <v>-0.0209</v>
      </c>
      <c r="E272" s="1" t="n">
        <v>0.0107</v>
      </c>
      <c r="F272" s="1" t="n">
        <v>-0.0058</v>
      </c>
      <c r="G272" s="1" t="n">
        <v>0.0140625</v>
      </c>
      <c r="H272" s="1" t="n">
        <v>-0.0143955</v>
      </c>
      <c r="J272" s="1" t="n">
        <f aca="false">C272-D272</f>
        <v>0.0319</v>
      </c>
      <c r="K272" s="1" t="n">
        <f aca="false">G272-H272</f>
        <v>0.028458</v>
      </c>
    </row>
    <row r="273" customFormat="false" ht="13.8" hidden="false" customHeight="false" outlineLevel="0" collapsed="false">
      <c r="A273" s="5" t="n">
        <v>34182</v>
      </c>
      <c r="B273" s="1" t="n">
        <v>0.0371</v>
      </c>
      <c r="C273" s="1" t="n">
        <v>0.0373</v>
      </c>
      <c r="D273" s="1" t="n">
        <v>0.0326</v>
      </c>
      <c r="E273" s="1" t="n">
        <v>0.04</v>
      </c>
      <c r="F273" s="1" t="n">
        <v>0.0357</v>
      </c>
      <c r="G273" s="1" t="n">
        <v>0.0351165</v>
      </c>
      <c r="H273" s="1" t="n">
        <v>0.033805</v>
      </c>
      <c r="J273" s="1" t="n">
        <f aca="false">C273-D273</f>
        <v>0.0047</v>
      </c>
      <c r="K273" s="1" t="n">
        <f aca="false">G273-H273</f>
        <v>0.0013115</v>
      </c>
    </row>
    <row r="274" customFormat="false" ht="13.8" hidden="false" customHeight="false" outlineLevel="0" collapsed="false">
      <c r="A274" s="5" t="n">
        <v>34213</v>
      </c>
      <c r="B274" s="1" t="n">
        <v>-0.0012</v>
      </c>
      <c r="C274" s="1" t="n">
        <v>-0.0039</v>
      </c>
      <c r="D274" s="1" t="n">
        <v>-0.0079</v>
      </c>
      <c r="E274" s="1" t="n">
        <v>0.0264</v>
      </c>
      <c r="F274" s="1" t="n">
        <v>-0.0068</v>
      </c>
      <c r="G274" s="1" t="n">
        <v>0.006261</v>
      </c>
      <c r="H274" s="1" t="n">
        <v>0.0093455</v>
      </c>
      <c r="J274" s="1" t="n">
        <f aca="false">C274-D274</f>
        <v>0.004</v>
      </c>
      <c r="K274" s="1" t="n">
        <f aca="false">G274-H274</f>
        <v>-0.0030845</v>
      </c>
    </row>
    <row r="275" customFormat="false" ht="13.8" hidden="false" customHeight="false" outlineLevel="0" collapsed="false">
      <c r="A275" s="5" t="n">
        <v>34243</v>
      </c>
      <c r="B275" s="1" t="n">
        <v>0.0141</v>
      </c>
      <c r="C275" s="1" t="n">
        <v>-0.0052</v>
      </c>
      <c r="D275" s="1" t="n">
        <v>0.0313</v>
      </c>
      <c r="E275" s="1" t="n">
        <v>0.0413</v>
      </c>
      <c r="F275" s="1" t="n">
        <v>0.0137</v>
      </c>
      <c r="G275" s="1" t="n">
        <v>0.0064695</v>
      </c>
      <c r="H275" s="1" t="n">
        <v>0.0340615</v>
      </c>
      <c r="J275" s="1" t="n">
        <f aca="false">C275-D275</f>
        <v>-0.0365</v>
      </c>
      <c r="K275" s="1" t="n">
        <f aca="false">G275-H275</f>
        <v>-0.027592</v>
      </c>
    </row>
    <row r="276" customFormat="false" ht="13.8" hidden="false" customHeight="false" outlineLevel="0" collapsed="false">
      <c r="A276" s="5" t="n">
        <v>34274</v>
      </c>
      <c r="B276" s="1" t="n">
        <v>-0.0189</v>
      </c>
      <c r="C276" s="1" t="n">
        <v>-0.0245</v>
      </c>
      <c r="D276" s="1" t="n">
        <v>-0.005</v>
      </c>
      <c r="E276" s="1" t="n">
        <v>-0.0337</v>
      </c>
      <c r="F276" s="1" t="n">
        <v>-0.0137</v>
      </c>
      <c r="G276" s="1" t="n">
        <v>-0.0254405</v>
      </c>
      <c r="H276" s="1" t="n">
        <v>-0.017998</v>
      </c>
      <c r="J276" s="1" t="n">
        <f aca="false">C276-D276</f>
        <v>-0.0195</v>
      </c>
      <c r="K276" s="1" t="n">
        <f aca="false">G276-H276</f>
        <v>-0.0074425</v>
      </c>
    </row>
    <row r="277" customFormat="false" ht="13.8" hidden="false" customHeight="false" outlineLevel="0" collapsed="false">
      <c r="A277" s="5" t="n">
        <v>34304</v>
      </c>
      <c r="B277" s="1" t="n">
        <v>0.0165</v>
      </c>
      <c r="C277" s="1" t="n">
        <v>0.0206</v>
      </c>
      <c r="D277" s="1" t="n">
        <v>0.0131</v>
      </c>
      <c r="E277" s="1" t="n">
        <v>0.0143</v>
      </c>
      <c r="F277" s="1" t="n">
        <v>0.0114</v>
      </c>
      <c r="G277" s="1" t="n">
        <v>0.0216765</v>
      </c>
      <c r="H277" s="1" t="n">
        <v>0.018448</v>
      </c>
      <c r="J277" s="1" t="n">
        <f aca="false">C277-D277</f>
        <v>0.0075</v>
      </c>
      <c r="K277" s="1" t="n">
        <f aca="false">G277-H277</f>
        <v>0.0032285</v>
      </c>
    </row>
    <row r="278" customFormat="false" ht="13.8" hidden="false" customHeight="false" outlineLevel="0" collapsed="false">
      <c r="A278" s="5" t="n">
        <v>34335</v>
      </c>
      <c r="B278" s="1" t="n">
        <v>0.0287</v>
      </c>
      <c r="C278" s="1" t="n">
        <v>0.0206</v>
      </c>
      <c r="D278" s="1" t="n">
        <v>0.0211</v>
      </c>
      <c r="E278" s="1" t="n">
        <v>0.0374</v>
      </c>
      <c r="F278" s="1" t="n">
        <v>0.0286</v>
      </c>
      <c r="G278" s="1" t="n">
        <v>0.030431</v>
      </c>
      <c r="H278" s="1" t="n">
        <v>0.0189785</v>
      </c>
      <c r="J278" s="1" t="n">
        <f aca="false">C278-D278</f>
        <v>-0.0005</v>
      </c>
      <c r="K278" s="1" t="n">
        <f aca="false">G278-H278</f>
        <v>0.0114525</v>
      </c>
    </row>
    <row r="279" customFormat="false" ht="13.8" hidden="false" customHeight="false" outlineLevel="0" collapsed="false">
      <c r="A279" s="5" t="n">
        <v>34366</v>
      </c>
      <c r="B279" s="1" t="n">
        <v>-0.0255</v>
      </c>
      <c r="C279" s="1" t="n">
        <v>-0.0418</v>
      </c>
      <c r="D279" s="1" t="n">
        <v>-0.0189</v>
      </c>
      <c r="E279" s="1" t="n">
        <v>-0.0094</v>
      </c>
      <c r="F279" s="1" t="n">
        <v>-0.0308</v>
      </c>
      <c r="G279" s="1" t="n">
        <v>-0.0309525</v>
      </c>
      <c r="H279" s="1" t="n">
        <v>-0.0155185</v>
      </c>
      <c r="J279" s="1" t="n">
        <f aca="false">C279-D279</f>
        <v>-0.0229</v>
      </c>
      <c r="K279" s="1" t="n">
        <f aca="false">G279-H279</f>
        <v>-0.015434</v>
      </c>
    </row>
    <row r="280" customFormat="false" ht="13.8" hidden="false" customHeight="false" outlineLevel="0" collapsed="false">
      <c r="A280" s="5" t="n">
        <v>34394</v>
      </c>
      <c r="B280" s="1" t="n">
        <v>-0.0478</v>
      </c>
      <c r="C280" s="1" t="n">
        <v>-0.0384</v>
      </c>
      <c r="D280" s="1" t="n">
        <v>-0.0511</v>
      </c>
      <c r="E280" s="1" t="n">
        <v>-0.0587</v>
      </c>
      <c r="F280" s="1" t="n">
        <v>-0.0452</v>
      </c>
      <c r="G280" s="1" t="n">
        <v>-0.041282</v>
      </c>
      <c r="H280" s="1" t="n">
        <v>-0.057322</v>
      </c>
      <c r="J280" s="1" t="n">
        <f aca="false">C280-D280</f>
        <v>0.0127</v>
      </c>
      <c r="K280" s="1" t="n">
        <f aca="false">G280-H280</f>
        <v>0.01604</v>
      </c>
    </row>
    <row r="281" customFormat="false" ht="13.8" hidden="false" customHeight="false" outlineLevel="0" collapsed="false">
      <c r="A281" s="5" t="n">
        <v>34425</v>
      </c>
      <c r="B281" s="1" t="n">
        <v>0.0068</v>
      </c>
      <c r="C281" s="1" t="n">
        <v>0.0132</v>
      </c>
      <c r="D281" s="1" t="n">
        <v>0.0021</v>
      </c>
      <c r="E281" s="1" t="n">
        <v>-0.0092</v>
      </c>
      <c r="F281" s="1" t="n">
        <v>0.0091</v>
      </c>
      <c r="G281" s="1" t="n">
        <v>0.0125815</v>
      </c>
      <c r="H281" s="1" t="n">
        <v>-0.004062</v>
      </c>
      <c r="J281" s="1" t="n">
        <f aca="false">C281-D281</f>
        <v>0.0111</v>
      </c>
      <c r="K281" s="1" t="n">
        <f aca="false">G281-H281</f>
        <v>0.0166435</v>
      </c>
    </row>
    <row r="282" customFormat="false" ht="13.8" hidden="false" customHeight="false" outlineLevel="0" collapsed="false">
      <c r="A282" s="5" t="n">
        <v>34455</v>
      </c>
      <c r="B282" s="1" t="n">
        <v>0.0058</v>
      </c>
      <c r="C282" s="1" t="n">
        <v>-0.0037</v>
      </c>
      <c r="D282" s="1" t="n">
        <v>0.0072</v>
      </c>
      <c r="E282" s="1" t="n">
        <v>-0.0128</v>
      </c>
      <c r="F282" s="1" t="n">
        <v>0.0131</v>
      </c>
      <c r="G282" s="1" t="n">
        <v>-0.0028545</v>
      </c>
      <c r="H282" s="1" t="n">
        <v>-0.0096035</v>
      </c>
      <c r="J282" s="1" t="n">
        <f aca="false">C282-D282</f>
        <v>-0.0109</v>
      </c>
      <c r="K282" s="1" t="n">
        <f aca="false">G282-H282</f>
        <v>0.006749</v>
      </c>
    </row>
    <row r="283" customFormat="false" ht="13.8" hidden="false" customHeight="false" outlineLevel="0" collapsed="false">
      <c r="A283" s="5" t="n">
        <v>34486</v>
      </c>
      <c r="B283" s="1" t="n">
        <v>-0.0303</v>
      </c>
      <c r="C283" s="1" t="n">
        <v>-0.0281</v>
      </c>
      <c r="D283" s="1" t="n">
        <v>-0.0356</v>
      </c>
      <c r="E283" s="1" t="n">
        <v>-0.0358</v>
      </c>
      <c r="F283" s="1" t="n">
        <v>-0.029</v>
      </c>
      <c r="G283" s="1" t="n">
        <v>-0.025546</v>
      </c>
      <c r="H283" s="1" t="n">
        <v>-0.04224</v>
      </c>
      <c r="J283" s="1" t="n">
        <f aca="false">C283-D283</f>
        <v>0.0075</v>
      </c>
      <c r="K283" s="1" t="n">
        <f aca="false">G283-H283</f>
        <v>0.016694</v>
      </c>
    </row>
    <row r="284" customFormat="false" ht="13.8" hidden="false" customHeight="false" outlineLevel="0" collapsed="false">
      <c r="A284" s="5" t="n">
        <v>34516</v>
      </c>
      <c r="B284" s="1" t="n">
        <v>0.0282</v>
      </c>
      <c r="C284" s="1" t="n">
        <v>0.029</v>
      </c>
      <c r="D284" s="1" t="n">
        <v>0.025</v>
      </c>
      <c r="E284" s="1" t="n">
        <v>0.0094</v>
      </c>
      <c r="F284" s="1" t="n">
        <v>0.0298</v>
      </c>
      <c r="G284" s="1" t="n">
        <v>0.025512</v>
      </c>
      <c r="H284" s="1" t="n">
        <v>0.019702</v>
      </c>
      <c r="J284" s="1" t="n">
        <f aca="false">C284-D284</f>
        <v>0.004</v>
      </c>
      <c r="K284" s="1" t="n">
        <f aca="false">G284-H284</f>
        <v>0.00581</v>
      </c>
    </row>
    <row r="285" customFormat="false" ht="13.8" hidden="false" customHeight="false" outlineLevel="0" collapsed="false">
      <c r="A285" s="5" t="n">
        <v>34547</v>
      </c>
      <c r="B285" s="1" t="n">
        <v>0.0401</v>
      </c>
      <c r="C285" s="1" t="n">
        <v>0.0335</v>
      </c>
      <c r="D285" s="1" t="n">
        <v>0.0503</v>
      </c>
      <c r="E285" s="1" t="n">
        <v>0.0401</v>
      </c>
      <c r="F285" s="1" t="n">
        <v>0.0375</v>
      </c>
      <c r="G285" s="1" t="n">
        <v>0.034311</v>
      </c>
      <c r="H285" s="1" t="n">
        <v>0.059422</v>
      </c>
      <c r="J285" s="1" t="n">
        <f aca="false">C285-D285</f>
        <v>-0.0168</v>
      </c>
      <c r="K285" s="1" t="n">
        <f aca="false">G285-H285</f>
        <v>-0.025111</v>
      </c>
    </row>
    <row r="286" customFormat="false" ht="13.8" hidden="false" customHeight="false" outlineLevel="0" collapsed="false">
      <c r="A286" s="5" t="n">
        <v>34578</v>
      </c>
      <c r="B286" s="1" t="n">
        <v>-0.0231</v>
      </c>
      <c r="C286" s="1" t="n">
        <v>-0.0386</v>
      </c>
      <c r="D286" s="1" t="n">
        <v>-0.0163</v>
      </c>
      <c r="E286" s="1" t="n">
        <v>0.0076</v>
      </c>
      <c r="F286" s="1" t="n">
        <v>-0.0279</v>
      </c>
      <c r="G286" s="1" t="n">
        <v>-0.026692</v>
      </c>
      <c r="H286" s="1" t="n">
        <v>-0.0078385</v>
      </c>
      <c r="J286" s="1" t="n">
        <f aca="false">C286-D286</f>
        <v>-0.0223</v>
      </c>
      <c r="K286" s="1" t="n">
        <f aca="false">G286-H286</f>
        <v>-0.0188535</v>
      </c>
    </row>
    <row r="287" customFormat="false" ht="13.8" hidden="false" customHeight="false" outlineLevel="0" collapsed="false">
      <c r="A287" s="5" t="n">
        <v>34608</v>
      </c>
      <c r="B287" s="1" t="n">
        <v>0.0134</v>
      </c>
      <c r="C287" s="1" t="n">
        <v>-0.002</v>
      </c>
      <c r="D287" s="1" t="n">
        <v>0.015</v>
      </c>
      <c r="E287" s="1" t="n">
        <v>-0.0017</v>
      </c>
      <c r="F287" s="1" t="n">
        <v>0.0179</v>
      </c>
      <c r="G287" s="1" t="n">
        <v>-0.00778</v>
      </c>
      <c r="H287" s="1" t="n">
        <v>0.008455</v>
      </c>
      <c r="J287" s="1" t="n">
        <f aca="false">C287-D287</f>
        <v>-0.017</v>
      </c>
      <c r="K287" s="1" t="n">
        <f aca="false">G287-H287</f>
        <v>-0.016235</v>
      </c>
    </row>
    <row r="288" customFormat="false" ht="13.8" hidden="false" customHeight="false" outlineLevel="0" collapsed="false">
      <c r="A288" s="5" t="n">
        <v>34639</v>
      </c>
      <c r="B288" s="1" t="n">
        <v>-0.0404</v>
      </c>
      <c r="C288" s="1" t="n">
        <v>-0.0496</v>
      </c>
      <c r="D288" s="1" t="n">
        <v>-0.0364</v>
      </c>
      <c r="E288" s="1" t="n">
        <v>-0.0405</v>
      </c>
      <c r="F288" s="1" t="n">
        <v>-0.0373</v>
      </c>
      <c r="G288" s="1" t="n">
        <v>-0.046534</v>
      </c>
      <c r="H288" s="1" t="n">
        <v>-0.0395405</v>
      </c>
      <c r="J288" s="1" t="n">
        <f aca="false">C288-D288</f>
        <v>-0.0132</v>
      </c>
      <c r="K288" s="1" t="n">
        <f aca="false">G288-H288</f>
        <v>-0.0069935</v>
      </c>
    </row>
    <row r="289" customFormat="false" ht="13.8" hidden="false" customHeight="false" outlineLevel="0" collapsed="false">
      <c r="A289" s="5" t="n">
        <v>34669</v>
      </c>
      <c r="B289" s="1" t="n">
        <v>0.0086</v>
      </c>
      <c r="C289" s="1" t="n">
        <v>0.0033</v>
      </c>
      <c r="D289" s="1" t="n">
        <v>0.0103</v>
      </c>
      <c r="E289" s="1" t="n">
        <v>-0.0048</v>
      </c>
      <c r="F289" s="1" t="n">
        <v>0.008</v>
      </c>
      <c r="G289" s="1" t="n">
        <v>0.005958</v>
      </c>
      <c r="H289" s="1" t="n">
        <v>0.0072995</v>
      </c>
      <c r="J289" s="1" t="n">
        <f aca="false">C289-D289</f>
        <v>-0.007</v>
      </c>
      <c r="K289" s="1" t="n">
        <f aca="false">G289-H289</f>
        <v>-0.0013415</v>
      </c>
    </row>
    <row r="290" customFormat="false" ht="13.8" hidden="false" customHeight="false" outlineLevel="0" collapsed="false">
      <c r="A290" s="5" t="n">
        <v>34700</v>
      </c>
      <c r="B290" s="1" t="n">
        <v>0.018</v>
      </c>
      <c r="C290" s="1" t="n">
        <v>0.0386</v>
      </c>
      <c r="D290" s="1" t="n">
        <v>0.015</v>
      </c>
      <c r="E290" s="1" t="n">
        <v>0.0078</v>
      </c>
      <c r="F290" s="1" t="n">
        <v>0.0241</v>
      </c>
      <c r="G290" s="1" t="n">
        <v>0.0270175</v>
      </c>
      <c r="H290" s="1" t="n">
        <v>0.001334</v>
      </c>
      <c r="J290" s="1" t="n">
        <f aca="false">C290-D290</f>
        <v>0.0236</v>
      </c>
      <c r="K290" s="1" t="n">
        <f aca="false">G290-H290</f>
        <v>0.0256835</v>
      </c>
    </row>
    <row r="291" customFormat="false" ht="13.8" hidden="false" customHeight="false" outlineLevel="0" collapsed="false">
      <c r="A291" s="5" t="n">
        <v>34731</v>
      </c>
      <c r="B291" s="1" t="n">
        <v>0.0363</v>
      </c>
      <c r="C291" s="1" t="n">
        <v>0.0466</v>
      </c>
      <c r="D291" s="1" t="n">
        <v>0.0346</v>
      </c>
      <c r="E291" s="1" t="n">
        <v>0.0289</v>
      </c>
      <c r="F291" s="1" t="n">
        <v>0.0352</v>
      </c>
      <c r="G291" s="1" t="n">
        <v>0.043749</v>
      </c>
      <c r="H291" s="1" t="n">
        <v>0.0329565</v>
      </c>
      <c r="J291" s="1" t="n">
        <f aca="false">C291-D291</f>
        <v>0.012</v>
      </c>
      <c r="K291" s="1" t="n">
        <f aca="false">G291-H291</f>
        <v>0.0107925</v>
      </c>
    </row>
    <row r="292" customFormat="false" ht="13.8" hidden="false" customHeight="false" outlineLevel="0" collapsed="false">
      <c r="A292" s="5" t="n">
        <v>34759</v>
      </c>
      <c r="B292" s="1" t="n">
        <v>0.0219</v>
      </c>
      <c r="C292" s="1" t="n">
        <v>0.0004</v>
      </c>
      <c r="D292" s="1" t="n">
        <v>0.025</v>
      </c>
      <c r="E292" s="1" t="n">
        <v>0.0189</v>
      </c>
      <c r="F292" s="1" t="n">
        <v>0.0224</v>
      </c>
      <c r="G292" s="1" t="n">
        <v>0.0031815</v>
      </c>
      <c r="H292" s="1" t="n">
        <v>0.024729</v>
      </c>
      <c r="J292" s="1" t="n">
        <f aca="false">C292-D292</f>
        <v>-0.0246</v>
      </c>
      <c r="K292" s="1" t="n">
        <f aca="false">G292-H292</f>
        <v>-0.0215475</v>
      </c>
    </row>
    <row r="293" customFormat="false" ht="13.8" hidden="false" customHeight="false" outlineLevel="0" collapsed="false">
      <c r="A293" s="5" t="n">
        <v>34790</v>
      </c>
      <c r="B293" s="1" t="n">
        <v>0.0211</v>
      </c>
      <c r="C293" s="1" t="n">
        <v>0.0303</v>
      </c>
      <c r="D293" s="1" t="n">
        <v>0.018</v>
      </c>
      <c r="E293" s="1" t="n">
        <v>0.0215</v>
      </c>
      <c r="F293" s="1" t="n">
        <v>0.0227</v>
      </c>
      <c r="G293" s="1" t="n">
        <v>0.029807</v>
      </c>
      <c r="H293" s="1" t="n">
        <v>0.01273</v>
      </c>
      <c r="J293" s="1" t="n">
        <f aca="false">C293-D293</f>
        <v>0.0123</v>
      </c>
      <c r="K293" s="1" t="n">
        <f aca="false">G293-H293</f>
        <v>0.017077</v>
      </c>
    </row>
    <row r="294" customFormat="false" ht="13.8" hidden="false" customHeight="false" outlineLevel="0" collapsed="false">
      <c r="A294" s="5" t="n">
        <v>34820</v>
      </c>
      <c r="B294" s="1" t="n">
        <v>0.029</v>
      </c>
      <c r="C294" s="1" t="n">
        <v>0.0456</v>
      </c>
      <c r="D294" s="1" t="n">
        <v>0.0254</v>
      </c>
      <c r="E294" s="1" t="n">
        <v>0.0155</v>
      </c>
      <c r="F294" s="1" t="n">
        <v>0.0343</v>
      </c>
      <c r="G294" s="1" t="n">
        <v>0.038063</v>
      </c>
      <c r="H294" s="1" t="n">
        <v>0.015149</v>
      </c>
      <c r="J294" s="1" t="n">
        <f aca="false">C294-D294</f>
        <v>0.0202</v>
      </c>
      <c r="K294" s="1" t="n">
        <f aca="false">G294-H294</f>
        <v>0.022914</v>
      </c>
    </row>
    <row r="295" customFormat="false" ht="13.8" hidden="false" customHeight="false" outlineLevel="0" collapsed="false">
      <c r="A295" s="5" t="n">
        <v>34851</v>
      </c>
      <c r="B295" s="1" t="n">
        <v>0.0272</v>
      </c>
      <c r="C295" s="1" t="n">
        <v>0.0192</v>
      </c>
      <c r="D295" s="1" t="n">
        <v>0.0333</v>
      </c>
      <c r="E295" s="1" t="n">
        <v>0.0605</v>
      </c>
      <c r="F295" s="1" t="n">
        <v>0.0199</v>
      </c>
      <c r="G295" s="1" t="n">
        <v>0.026177</v>
      </c>
      <c r="H295" s="1" t="n">
        <v>0.0515345</v>
      </c>
      <c r="J295" s="1" t="n">
        <f aca="false">C295-D295</f>
        <v>-0.0141</v>
      </c>
      <c r="K295" s="1" t="n">
        <f aca="false">G295-H295</f>
        <v>-0.0253575</v>
      </c>
    </row>
    <row r="296" customFormat="false" ht="13.8" hidden="false" customHeight="false" outlineLevel="0" collapsed="false">
      <c r="A296" s="5" t="n">
        <v>34881</v>
      </c>
      <c r="B296" s="1" t="n">
        <v>0.0372</v>
      </c>
      <c r="C296" s="1" t="n">
        <v>0.0354</v>
      </c>
      <c r="D296" s="1" t="n">
        <v>0.0364</v>
      </c>
      <c r="E296" s="1" t="n">
        <v>0.0575</v>
      </c>
      <c r="F296" s="1" t="n">
        <v>0.0315</v>
      </c>
      <c r="G296" s="1" t="n">
        <v>0.038347</v>
      </c>
      <c r="H296" s="1" t="n">
        <v>0.054518</v>
      </c>
      <c r="J296" s="1" t="n">
        <f aca="false">C296-D296</f>
        <v>-0.001</v>
      </c>
      <c r="K296" s="1" t="n">
        <f aca="false">G296-H296</f>
        <v>-0.016171</v>
      </c>
    </row>
    <row r="297" customFormat="false" ht="13.8" hidden="false" customHeight="false" outlineLevel="0" collapsed="false">
      <c r="A297" s="5" t="n">
        <v>34912</v>
      </c>
      <c r="B297" s="1" t="n">
        <v>0.0055</v>
      </c>
      <c r="C297" s="1" t="n">
        <v>0.0331</v>
      </c>
      <c r="D297" s="1" t="n">
        <v>-0.0028</v>
      </c>
      <c r="E297" s="1" t="n">
        <v>0.0278</v>
      </c>
      <c r="F297" s="1" t="n">
        <v>0.0027</v>
      </c>
      <c r="G297" s="1" t="n">
        <v>0.033647</v>
      </c>
      <c r="H297" s="1" t="n">
        <v>0.005707</v>
      </c>
      <c r="J297" s="1" t="n">
        <f aca="false">C297-D297</f>
        <v>0.0359</v>
      </c>
      <c r="K297" s="1" t="n">
        <f aca="false">G297-H297</f>
        <v>0.02794</v>
      </c>
    </row>
    <row r="298" customFormat="false" ht="13.8" hidden="false" customHeight="false" outlineLevel="0" collapsed="false">
      <c r="A298" s="5" t="n">
        <v>34943</v>
      </c>
      <c r="B298" s="1" t="n">
        <v>0.0335</v>
      </c>
      <c r="C298" s="1" t="n">
        <v>0.0394</v>
      </c>
      <c r="D298" s="1" t="n">
        <v>0.0391</v>
      </c>
      <c r="E298" s="1" t="n">
        <v>0.0173</v>
      </c>
      <c r="F298" s="1" t="n">
        <v>0.039</v>
      </c>
      <c r="G298" s="1" t="n">
        <v>0.029912</v>
      </c>
      <c r="H298" s="1" t="n">
        <v>0.030326</v>
      </c>
      <c r="J298" s="1" t="n">
        <f aca="false">C298-D298</f>
        <v>0.000299999999999995</v>
      </c>
      <c r="K298" s="1" t="n">
        <f aca="false">G298-H298</f>
        <v>-0.000413999999999998</v>
      </c>
    </row>
    <row r="299" customFormat="false" ht="13.8" hidden="false" customHeight="false" outlineLevel="0" collapsed="false">
      <c r="A299" s="5" t="n">
        <v>34973</v>
      </c>
      <c r="B299" s="1" t="n">
        <v>-0.0152</v>
      </c>
      <c r="C299" s="1" t="n">
        <v>-0.0316</v>
      </c>
      <c r="D299" s="1" t="n">
        <v>-0.006</v>
      </c>
      <c r="E299" s="1" t="n">
        <v>-0.0577</v>
      </c>
      <c r="F299" s="1" t="n">
        <v>-0.009</v>
      </c>
      <c r="G299" s="1" t="n">
        <v>-0.035641</v>
      </c>
      <c r="H299" s="1" t="n">
        <v>-0.0306295</v>
      </c>
      <c r="J299" s="1" t="n">
        <f aca="false">C299-D299</f>
        <v>-0.0256</v>
      </c>
      <c r="K299" s="1" t="n">
        <f aca="false">G299-H299</f>
        <v>-0.0050115</v>
      </c>
    </row>
    <row r="300" customFormat="false" ht="13.8" hidden="false" customHeight="false" outlineLevel="0" collapsed="false">
      <c r="A300" s="5" t="n">
        <v>35004</v>
      </c>
      <c r="B300" s="1" t="n">
        <v>0.0396</v>
      </c>
      <c r="C300" s="1" t="n">
        <v>0.0452</v>
      </c>
      <c r="D300" s="1" t="n">
        <v>0.0378</v>
      </c>
      <c r="E300" s="1" t="n">
        <v>0.0239</v>
      </c>
      <c r="F300" s="1" t="n">
        <v>0.0401</v>
      </c>
      <c r="G300" s="1" t="n">
        <v>0.040727</v>
      </c>
      <c r="H300" s="1" t="n">
        <v>0.035655</v>
      </c>
      <c r="J300" s="1" t="n">
        <f aca="false">C300-D300</f>
        <v>0.0074</v>
      </c>
      <c r="K300" s="1" t="n">
        <f aca="false">G300-H300</f>
        <v>0.005072</v>
      </c>
    </row>
    <row r="301" customFormat="false" ht="13.8" hidden="false" customHeight="false" outlineLevel="0" collapsed="false">
      <c r="A301" s="5" t="n">
        <v>35034</v>
      </c>
      <c r="B301" s="1" t="n">
        <v>0.0103</v>
      </c>
      <c r="C301" s="1" t="n">
        <v>0.0098</v>
      </c>
      <c r="D301" s="1" t="n">
        <v>0.0047</v>
      </c>
      <c r="E301" s="1" t="n">
        <v>0.0179</v>
      </c>
      <c r="F301" s="1" t="n">
        <v>0.0098</v>
      </c>
      <c r="G301" s="1" t="n">
        <v>0.0126375</v>
      </c>
      <c r="H301" s="1" t="n">
        <v>0.0104425</v>
      </c>
      <c r="J301" s="1" t="n">
        <f aca="false">C301-D301</f>
        <v>0.0051</v>
      </c>
      <c r="K301" s="1" t="n">
        <f aca="false">G301-H301</f>
        <v>0.002195</v>
      </c>
    </row>
    <row r="302" customFormat="false" ht="13.8" hidden="false" customHeight="false" outlineLevel="0" collapsed="false">
      <c r="A302" s="5" t="n">
        <v>35065</v>
      </c>
      <c r="B302" s="1" t="n">
        <v>0.0226</v>
      </c>
      <c r="C302" s="1" t="n">
        <v>0.0224</v>
      </c>
      <c r="D302" s="1" t="n">
        <v>0.0245</v>
      </c>
      <c r="E302" s="1" t="n">
        <v>0.0016</v>
      </c>
      <c r="F302" s="1" t="n">
        <v>0.0296</v>
      </c>
      <c r="G302" s="1" t="n">
        <v>0.0152035</v>
      </c>
      <c r="H302" s="1" t="n">
        <v>0.0113835</v>
      </c>
      <c r="J302" s="1" t="n">
        <f aca="false">C302-D302</f>
        <v>-0.0021</v>
      </c>
      <c r="K302" s="1" t="n">
        <f aca="false">G302-H302</f>
        <v>0.00382</v>
      </c>
    </row>
    <row r="303" customFormat="false" ht="13.8" hidden="false" customHeight="false" outlineLevel="0" collapsed="false">
      <c r="A303" s="5" t="n">
        <v>35096</v>
      </c>
      <c r="B303" s="1" t="n">
        <v>0.0133</v>
      </c>
      <c r="C303" s="1" t="n">
        <v>0.0142</v>
      </c>
      <c r="D303" s="1" t="n">
        <v>0.015</v>
      </c>
      <c r="E303" s="1" t="n">
        <v>0.0284</v>
      </c>
      <c r="F303" s="1" t="n">
        <v>0.0097</v>
      </c>
      <c r="G303" s="1" t="n">
        <v>0.0177655</v>
      </c>
      <c r="H303" s="1" t="n">
        <v>0.028602</v>
      </c>
      <c r="J303" s="1" t="n">
        <f aca="false">C303-D303</f>
        <v>-0.000799999999999999</v>
      </c>
      <c r="K303" s="1" t="n">
        <f aca="false">G303-H303</f>
        <v>-0.0108365</v>
      </c>
    </row>
    <row r="304" customFormat="false" ht="13.8" hidden="false" customHeight="false" outlineLevel="0" collapsed="false">
      <c r="A304" s="5" t="n">
        <v>35125</v>
      </c>
      <c r="B304" s="1" t="n">
        <v>0.0073</v>
      </c>
      <c r="C304" s="1" t="n">
        <v>0.0086</v>
      </c>
      <c r="D304" s="1" t="n">
        <v>0.001</v>
      </c>
      <c r="E304" s="1" t="n">
        <v>0.0205</v>
      </c>
      <c r="F304" s="1" t="n">
        <v>0.0042</v>
      </c>
      <c r="G304" s="1" t="n">
        <v>0.0136755</v>
      </c>
      <c r="H304" s="1" t="n">
        <v>0.0101325</v>
      </c>
      <c r="J304" s="1" t="n">
        <f aca="false">C304-D304</f>
        <v>0.0076</v>
      </c>
      <c r="K304" s="1" t="n">
        <f aca="false">G304-H304</f>
        <v>0.003543</v>
      </c>
    </row>
    <row r="305" customFormat="false" ht="13.8" hidden="false" customHeight="false" outlineLevel="0" collapsed="false">
      <c r="A305" s="5" t="n">
        <v>35156</v>
      </c>
      <c r="B305" s="1" t="n">
        <v>0.0206</v>
      </c>
      <c r="C305" s="1" t="n">
        <v>-0.0072</v>
      </c>
      <c r="D305" s="1" t="n">
        <v>0.0251</v>
      </c>
      <c r="E305" s="1" t="n">
        <v>0.0721</v>
      </c>
      <c r="F305" s="1" t="n">
        <v>0.0106</v>
      </c>
      <c r="G305" s="1" t="n">
        <v>0.010464</v>
      </c>
      <c r="H305" s="1" t="n">
        <v>0.0506805</v>
      </c>
      <c r="J305" s="1" t="n">
        <f aca="false">C305-D305</f>
        <v>-0.0323</v>
      </c>
      <c r="K305" s="1" t="n">
        <f aca="false">G305-H305</f>
        <v>-0.0402165</v>
      </c>
    </row>
    <row r="306" customFormat="false" ht="13.8" hidden="false" customHeight="false" outlineLevel="0" collapsed="false">
      <c r="A306" s="5" t="n">
        <v>35186</v>
      </c>
      <c r="B306" s="1" t="n">
        <v>0.0236</v>
      </c>
      <c r="C306" s="1" t="n">
        <v>0.0263</v>
      </c>
      <c r="D306" s="1" t="n">
        <v>0.0317</v>
      </c>
      <c r="E306" s="1" t="n">
        <v>0.0612</v>
      </c>
      <c r="F306" s="1" t="n">
        <v>0.0204</v>
      </c>
      <c r="G306" s="1" t="n">
        <v>0.034457</v>
      </c>
      <c r="H306" s="1" t="n">
        <v>0.0427795</v>
      </c>
      <c r="J306" s="1" t="n">
        <f aca="false">C306-D306</f>
        <v>-0.0054</v>
      </c>
      <c r="K306" s="1" t="n">
        <f aca="false">G306-H306</f>
        <v>-0.0083225</v>
      </c>
    </row>
    <row r="307" customFormat="false" ht="13.8" hidden="false" customHeight="false" outlineLevel="0" collapsed="false">
      <c r="A307" s="5" t="n">
        <v>35217</v>
      </c>
      <c r="B307" s="1" t="n">
        <v>-0.0114</v>
      </c>
      <c r="C307" s="1" t="n">
        <v>-0.0031</v>
      </c>
      <c r="D307" s="1" t="n">
        <v>-0.0079</v>
      </c>
      <c r="E307" s="1" t="n">
        <v>-0.0461</v>
      </c>
      <c r="F307" s="1" t="n">
        <v>-0.0012</v>
      </c>
      <c r="G307" s="1" t="n">
        <v>-0.011767</v>
      </c>
      <c r="H307" s="1" t="n">
        <v>-0.035247</v>
      </c>
      <c r="J307" s="1" t="n">
        <f aca="false">C307-D307</f>
        <v>0.0048</v>
      </c>
      <c r="K307" s="1" t="n">
        <f aca="false">G307-H307</f>
        <v>0.02348</v>
      </c>
    </row>
    <row r="308" customFormat="false" ht="13.8" hidden="false" customHeight="false" outlineLevel="0" collapsed="false">
      <c r="A308" s="5" t="n">
        <v>35247</v>
      </c>
      <c r="B308" s="1" t="n">
        <v>-0.0597</v>
      </c>
      <c r="C308" s="1" t="n">
        <v>-0.0458</v>
      </c>
      <c r="D308" s="1" t="n">
        <v>-0.0675</v>
      </c>
      <c r="E308" s="1" t="n">
        <v>-0.1049</v>
      </c>
      <c r="F308" s="1" t="n">
        <v>-0.0516</v>
      </c>
      <c r="G308" s="1" t="n">
        <v>-0.050298</v>
      </c>
      <c r="H308" s="1" t="n">
        <v>-0.101737</v>
      </c>
      <c r="J308" s="1" t="n">
        <f aca="false">C308-D308</f>
        <v>0.0217</v>
      </c>
      <c r="K308" s="1" t="n">
        <f aca="false">G308-H308</f>
        <v>0.051439</v>
      </c>
    </row>
    <row r="309" customFormat="false" ht="13.8" hidden="false" customHeight="false" outlineLevel="0" collapsed="false">
      <c r="A309" s="5" t="n">
        <v>35278</v>
      </c>
      <c r="B309" s="1" t="n">
        <v>0.0277</v>
      </c>
      <c r="C309" s="1" t="n">
        <v>0.031</v>
      </c>
      <c r="D309" s="1" t="n">
        <v>0.0208</v>
      </c>
      <c r="E309" s="1" t="n">
        <v>0.0443</v>
      </c>
      <c r="F309" s="1" t="n">
        <v>0.0208</v>
      </c>
      <c r="G309" s="1" t="n">
        <v>0.0343545</v>
      </c>
      <c r="H309" s="1" t="n">
        <v>0.041796</v>
      </c>
      <c r="J309" s="1" t="n">
        <f aca="false">C309-D309</f>
        <v>0.0102</v>
      </c>
      <c r="K309" s="1" t="n">
        <f aca="false">G309-H309</f>
        <v>-0.0074415</v>
      </c>
    </row>
    <row r="310" customFormat="false" ht="13.8" hidden="false" customHeight="false" outlineLevel="0" collapsed="false">
      <c r="A310" s="5" t="n">
        <v>35309</v>
      </c>
      <c r="B310" s="1" t="n">
        <v>0.0501</v>
      </c>
      <c r="C310" s="1" t="n">
        <v>0.0282</v>
      </c>
      <c r="D310" s="1" t="n">
        <v>0.0612</v>
      </c>
      <c r="E310" s="1" t="n">
        <v>0.0301</v>
      </c>
      <c r="F310" s="1" t="n">
        <v>0.0532</v>
      </c>
      <c r="G310" s="1" t="n">
        <v>0.028283</v>
      </c>
      <c r="H310" s="1" t="n">
        <v>0.055445</v>
      </c>
      <c r="J310" s="1" t="n">
        <f aca="false">C310-D310</f>
        <v>-0.033</v>
      </c>
      <c r="K310" s="1" t="n">
        <f aca="false">G310-H310</f>
        <v>-0.027162</v>
      </c>
    </row>
    <row r="311" customFormat="false" ht="13.8" hidden="false" customHeight="false" outlineLevel="0" collapsed="false">
      <c r="A311" s="5" t="n">
        <v>35339</v>
      </c>
      <c r="B311" s="1" t="n">
        <v>0.0086</v>
      </c>
      <c r="C311" s="1" t="n">
        <v>0.0308</v>
      </c>
      <c r="D311" s="1" t="n">
        <v>-0.0018</v>
      </c>
      <c r="E311" s="1" t="n">
        <v>-0.022</v>
      </c>
      <c r="F311" s="1" t="n">
        <v>0.0167</v>
      </c>
      <c r="G311" s="1" t="n">
        <v>0.022278</v>
      </c>
      <c r="H311" s="1" t="n">
        <v>-0.02712</v>
      </c>
      <c r="J311" s="1" t="n">
        <f aca="false">C311-D311</f>
        <v>0.0326</v>
      </c>
      <c r="K311" s="1" t="n">
        <f aca="false">G311-H311</f>
        <v>0.049398</v>
      </c>
    </row>
    <row r="312" customFormat="false" ht="13.8" hidden="false" customHeight="false" outlineLevel="0" collapsed="false">
      <c r="A312" s="5" t="n">
        <v>35370</v>
      </c>
      <c r="B312" s="1" t="n">
        <v>0.0625</v>
      </c>
      <c r="C312" s="1" t="n">
        <v>0.0644</v>
      </c>
      <c r="D312" s="1" t="n">
        <v>0.0637</v>
      </c>
      <c r="E312" s="1" t="n">
        <v>0.0223</v>
      </c>
      <c r="F312" s="1" t="n">
        <v>0.0708</v>
      </c>
      <c r="G312" s="1" t="n">
        <v>0.054285</v>
      </c>
      <c r="H312" s="1" t="n">
        <v>0.040433</v>
      </c>
      <c r="J312" s="1" t="n">
        <f aca="false">C312-D312</f>
        <v>0.000699999999999992</v>
      </c>
      <c r="K312" s="1" t="n">
        <f aca="false">G312-H312</f>
        <v>0.013852</v>
      </c>
    </row>
    <row r="313" customFormat="false" ht="13.8" hidden="false" customHeight="false" outlineLevel="0" collapsed="false">
      <c r="A313" s="5" t="n">
        <v>35400</v>
      </c>
      <c r="B313" s="1" t="n">
        <v>-0.017</v>
      </c>
      <c r="C313" s="1" t="n">
        <v>-0.0058</v>
      </c>
      <c r="D313" s="1" t="n">
        <v>-0.0203</v>
      </c>
      <c r="E313" s="1" t="n">
        <v>0.0139</v>
      </c>
      <c r="F313" s="1" t="n">
        <v>-0.0228</v>
      </c>
      <c r="G313" s="1" t="n">
        <v>0.002624</v>
      </c>
      <c r="H313" s="1" t="n">
        <v>-0.0104815</v>
      </c>
      <c r="J313" s="1" t="n">
        <f aca="false">C313-D313</f>
        <v>0.0145</v>
      </c>
      <c r="K313" s="1" t="n">
        <f aca="false">G313-H313</f>
        <v>0.0131055</v>
      </c>
    </row>
    <row r="314" customFormat="false" ht="13.8" hidden="false" customHeight="false" outlineLevel="0" collapsed="false">
      <c r="A314" s="5" t="n">
        <v>35431</v>
      </c>
      <c r="B314" s="1" t="n">
        <v>0.0499</v>
      </c>
      <c r="C314" s="1" t="n">
        <v>0.04</v>
      </c>
      <c r="D314" s="1" t="n">
        <v>0.059</v>
      </c>
      <c r="E314" s="1" t="n">
        <v>0.0383</v>
      </c>
      <c r="F314" s="1" t="n">
        <v>0.0565</v>
      </c>
      <c r="G314" s="1" t="n">
        <v>0.034631</v>
      </c>
      <c r="H314" s="1" t="n">
        <v>0.0488585</v>
      </c>
      <c r="J314" s="1" t="n">
        <f aca="false">C314-D314</f>
        <v>-0.019</v>
      </c>
      <c r="K314" s="1" t="n">
        <f aca="false">G314-H314</f>
        <v>-0.0142275</v>
      </c>
    </row>
    <row r="315" customFormat="false" ht="13.8" hidden="false" customHeight="false" outlineLevel="0" collapsed="false">
      <c r="A315" s="5" t="n">
        <v>35462</v>
      </c>
      <c r="B315" s="1" t="n">
        <v>-0.0049</v>
      </c>
      <c r="C315" s="1" t="n">
        <v>0.0277</v>
      </c>
      <c r="D315" s="1" t="n">
        <v>-0.0079</v>
      </c>
      <c r="E315" s="1" t="n">
        <v>-0.0319</v>
      </c>
      <c r="F315" s="1" t="n">
        <v>0.0012</v>
      </c>
      <c r="G315" s="1" t="n">
        <v>0.0208525</v>
      </c>
      <c r="H315" s="1" t="n">
        <v>-0.035892</v>
      </c>
      <c r="J315" s="1" t="n">
        <f aca="false">C315-D315</f>
        <v>0.0356</v>
      </c>
      <c r="K315" s="1" t="n">
        <f aca="false">G315-H315</f>
        <v>0.0567445</v>
      </c>
    </row>
    <row r="316" customFormat="false" ht="13.8" hidden="false" customHeight="false" outlineLevel="0" collapsed="false">
      <c r="A316" s="5" t="n">
        <v>35490</v>
      </c>
      <c r="B316" s="1" t="n">
        <v>-0.0503</v>
      </c>
      <c r="C316" s="1" t="n">
        <v>-0.0488</v>
      </c>
      <c r="D316" s="1" t="n">
        <v>-0.0598</v>
      </c>
      <c r="E316" s="1" t="n">
        <v>-0.0569</v>
      </c>
      <c r="F316" s="1" t="n">
        <v>-0.0486</v>
      </c>
      <c r="G316" s="1" t="n">
        <v>-0.039381</v>
      </c>
      <c r="H316" s="1" t="n">
        <v>-0.0732885</v>
      </c>
      <c r="J316" s="1" t="n">
        <f aca="false">C316-D316</f>
        <v>0.011</v>
      </c>
      <c r="K316" s="1" t="n">
        <f aca="false">G316-H316</f>
        <v>0.0339075</v>
      </c>
    </row>
    <row r="317" customFormat="false" ht="13.8" hidden="false" customHeight="false" outlineLevel="0" collapsed="false">
      <c r="A317" s="5" t="n">
        <v>35521</v>
      </c>
      <c r="B317" s="1" t="n">
        <v>0.0404</v>
      </c>
      <c r="C317" s="1" t="n">
        <v>0.0244</v>
      </c>
      <c r="D317" s="1" t="n">
        <v>0.0547</v>
      </c>
      <c r="E317" s="1" t="n">
        <v>-0.0306</v>
      </c>
      <c r="F317" s="1" t="n">
        <v>0.0521</v>
      </c>
      <c r="G317" s="1" t="n">
        <v>0.0127305</v>
      </c>
      <c r="H317" s="1" t="n">
        <v>0.012051</v>
      </c>
      <c r="J317" s="1" t="n">
        <f aca="false">C317-D317</f>
        <v>-0.0303</v>
      </c>
      <c r="K317" s="1" t="n">
        <f aca="false">G317-H317</f>
        <v>0.000679500000000001</v>
      </c>
    </row>
    <row r="318" customFormat="false" ht="13.8" hidden="false" customHeight="false" outlineLevel="0" collapsed="false">
      <c r="A318" s="5" t="n">
        <v>35551</v>
      </c>
      <c r="B318" s="1" t="n">
        <v>0.0674</v>
      </c>
      <c r="C318" s="1" t="n">
        <v>0.0591</v>
      </c>
      <c r="D318" s="1" t="n">
        <v>0.0692</v>
      </c>
      <c r="E318" s="1" t="n">
        <v>0.1047</v>
      </c>
      <c r="F318" s="1" t="n">
        <v>0.0584</v>
      </c>
      <c r="G318" s="1" t="n">
        <v>0.0663085</v>
      </c>
      <c r="H318" s="1" t="n">
        <v>0.107584</v>
      </c>
      <c r="J318" s="1" t="n">
        <f aca="false">C318-D318</f>
        <v>-0.0101</v>
      </c>
      <c r="K318" s="1" t="n">
        <f aca="false">G318-H318</f>
        <v>-0.0412755</v>
      </c>
    </row>
    <row r="319" customFormat="false" ht="13.8" hidden="false" customHeight="false" outlineLevel="0" collapsed="false">
      <c r="A319" s="5" t="n">
        <v>35582</v>
      </c>
      <c r="B319" s="1" t="n">
        <v>0.041</v>
      </c>
      <c r="C319" s="1" t="n">
        <v>0.042</v>
      </c>
      <c r="D319" s="1" t="n">
        <v>0.0391</v>
      </c>
      <c r="E319" s="1" t="n">
        <v>0.0537</v>
      </c>
      <c r="F319" s="1" t="n">
        <v>0.0392</v>
      </c>
      <c r="G319" s="1" t="n">
        <v>0.050301</v>
      </c>
      <c r="H319" s="1" t="n">
        <v>0.034485</v>
      </c>
      <c r="J319" s="1" t="n">
        <f aca="false">C319-D319</f>
        <v>0.0029</v>
      </c>
      <c r="K319" s="1" t="n">
        <f aca="false">G319-H319</f>
        <v>0.015816</v>
      </c>
    </row>
    <row r="320" customFormat="false" ht="13.8" hidden="false" customHeight="false" outlineLevel="0" collapsed="false">
      <c r="A320" s="5" t="n">
        <v>35612</v>
      </c>
      <c r="B320" s="1" t="n">
        <v>0.0733</v>
      </c>
      <c r="C320" s="1" t="n">
        <v>0.0672</v>
      </c>
      <c r="D320" s="1" t="n">
        <v>0.0714</v>
      </c>
      <c r="E320" s="1" t="n">
        <v>0.0424</v>
      </c>
      <c r="F320" s="1" t="n">
        <v>0.0781</v>
      </c>
      <c r="G320" s="1" t="n">
        <v>0.06219</v>
      </c>
      <c r="H320" s="1" t="n">
        <v>0.0596355</v>
      </c>
      <c r="J320" s="1" t="n">
        <f aca="false">C320-D320</f>
        <v>-0.00420000000000001</v>
      </c>
      <c r="K320" s="1" t="n">
        <f aca="false">G320-H320</f>
        <v>0.0025545</v>
      </c>
    </row>
    <row r="321" customFormat="false" ht="13.8" hidden="false" customHeight="false" outlineLevel="0" collapsed="false">
      <c r="A321" s="5" t="n">
        <v>35643</v>
      </c>
      <c r="B321" s="1" t="n">
        <v>-0.0415</v>
      </c>
      <c r="C321" s="1" t="n">
        <v>-0.0129</v>
      </c>
      <c r="D321" s="1" t="n">
        <v>-0.0534</v>
      </c>
      <c r="E321" s="1" t="n">
        <v>0.0376</v>
      </c>
      <c r="F321" s="1" t="n">
        <v>-0.0551</v>
      </c>
      <c r="G321" s="1" t="n">
        <v>-0.000271000000000001</v>
      </c>
      <c r="H321" s="1" t="n">
        <v>-0.012078</v>
      </c>
      <c r="J321" s="1" t="n">
        <f aca="false">C321-D321</f>
        <v>0.0405</v>
      </c>
      <c r="K321" s="1" t="n">
        <f aca="false">G321-H321</f>
        <v>0.011807</v>
      </c>
    </row>
    <row r="322" customFormat="false" ht="13.8" hidden="false" customHeight="false" outlineLevel="0" collapsed="false">
      <c r="A322" s="5" t="n">
        <v>35674</v>
      </c>
      <c r="B322" s="1" t="n">
        <v>0.0535</v>
      </c>
      <c r="C322" s="1" t="n">
        <v>0.0633</v>
      </c>
      <c r="D322" s="1" t="n">
        <v>0.0484</v>
      </c>
      <c r="E322" s="1" t="n">
        <v>0.0866</v>
      </c>
      <c r="F322" s="1" t="n">
        <v>0.0491</v>
      </c>
      <c r="G322" s="1" t="n">
        <v>0.0680595</v>
      </c>
      <c r="H322" s="1" t="n">
        <v>0.06436</v>
      </c>
      <c r="J322" s="1" t="n">
        <f aca="false">C322-D322</f>
        <v>0.0149</v>
      </c>
      <c r="K322" s="1" t="n">
        <f aca="false">G322-H322</f>
        <v>0.00369949999999999</v>
      </c>
    </row>
    <row r="323" customFormat="false" ht="13.8" hidden="false" customHeight="false" outlineLevel="0" collapsed="false">
      <c r="A323" s="5" t="n">
        <v>35704</v>
      </c>
      <c r="B323" s="1" t="n">
        <v>-0.038</v>
      </c>
      <c r="C323" s="1" t="n">
        <v>-0.0328</v>
      </c>
      <c r="D323" s="1" t="n">
        <v>-0.0391</v>
      </c>
      <c r="E323" s="1" t="n">
        <v>-0.0414</v>
      </c>
      <c r="F323" s="1" t="n">
        <v>-0.0357</v>
      </c>
      <c r="G323" s="1" t="n">
        <v>-0.0301655</v>
      </c>
      <c r="H323" s="1" t="n">
        <v>-0.0528675</v>
      </c>
      <c r="J323" s="1" t="n">
        <f aca="false">C323-D323</f>
        <v>0.0063</v>
      </c>
      <c r="K323" s="1" t="n">
        <f aca="false">G323-H323</f>
        <v>0.022702</v>
      </c>
    </row>
    <row r="324" customFormat="false" ht="13.8" hidden="false" customHeight="false" outlineLevel="0" collapsed="false">
      <c r="A324" s="5" t="n">
        <v>35735</v>
      </c>
      <c r="B324" s="1" t="n">
        <v>0.0298</v>
      </c>
      <c r="C324" s="1" t="n">
        <v>0.0233</v>
      </c>
      <c r="D324" s="1" t="n">
        <v>0.0416</v>
      </c>
      <c r="E324" s="1" t="n">
        <v>-0.0215</v>
      </c>
      <c r="F324" s="1" t="n">
        <v>0.0405</v>
      </c>
      <c r="G324" s="1" t="n">
        <v>0.016494</v>
      </c>
      <c r="H324" s="1" t="n">
        <v>0.004448</v>
      </c>
      <c r="J324" s="1" t="n">
        <f aca="false">C324-D324</f>
        <v>-0.0183</v>
      </c>
      <c r="K324" s="1" t="n">
        <f aca="false">G324-H324</f>
        <v>0.012046</v>
      </c>
    </row>
    <row r="325" customFormat="false" ht="13.8" hidden="false" customHeight="false" outlineLevel="0" collapsed="false">
      <c r="A325" s="5" t="n">
        <v>35765</v>
      </c>
      <c r="B325" s="1" t="n">
        <v>0.0132</v>
      </c>
      <c r="C325" s="1" t="n">
        <v>0.0329</v>
      </c>
      <c r="D325" s="1" t="n">
        <v>0.0053</v>
      </c>
      <c r="E325" s="1" t="n">
        <v>-0.0136</v>
      </c>
      <c r="F325" s="1" t="n">
        <v>0.0149</v>
      </c>
      <c r="G325" s="1" t="n">
        <v>0.028389</v>
      </c>
      <c r="H325" s="1" t="n">
        <v>-0.009971</v>
      </c>
      <c r="J325" s="1" t="n">
        <f aca="false">C325-D325</f>
        <v>0.0276</v>
      </c>
      <c r="K325" s="1" t="n">
        <f aca="false">G325-H325</f>
        <v>0.03836</v>
      </c>
    </row>
    <row r="326" customFormat="false" ht="13.8" hidden="false" customHeight="false" outlineLevel="0" collapsed="false">
      <c r="A326" s="5" t="n">
        <v>35796</v>
      </c>
      <c r="B326" s="1" t="n">
        <v>0.0015</v>
      </c>
      <c r="C326" s="1" t="n">
        <v>-0.0096</v>
      </c>
      <c r="D326" s="1" t="n">
        <v>0.0193</v>
      </c>
      <c r="E326" s="1" t="n">
        <v>-0.0101</v>
      </c>
      <c r="F326" s="1" t="n">
        <v>0.0056</v>
      </c>
      <c r="G326" s="1" t="n">
        <v>-0.011221</v>
      </c>
      <c r="H326" s="1" t="n">
        <v>0.005054</v>
      </c>
      <c r="J326" s="1" t="n">
        <f aca="false">C326-D326</f>
        <v>-0.0289</v>
      </c>
      <c r="K326" s="1" t="n">
        <f aca="false">G326-H326</f>
        <v>-0.016275</v>
      </c>
    </row>
    <row r="327" customFormat="false" ht="13.8" hidden="false" customHeight="false" outlineLevel="0" collapsed="false">
      <c r="A327" s="5" t="n">
        <v>35827</v>
      </c>
      <c r="B327" s="1" t="n">
        <v>0.0704</v>
      </c>
      <c r="C327" s="1" t="n">
        <v>0.0648</v>
      </c>
      <c r="D327" s="1" t="n">
        <v>0.0672</v>
      </c>
      <c r="E327" s="1" t="n">
        <v>0.0632</v>
      </c>
      <c r="F327" s="1" t="n">
        <v>0.0693</v>
      </c>
      <c r="G327" s="1" t="n">
        <v>0.065533</v>
      </c>
      <c r="H327" s="1" t="n">
        <v>0.074016</v>
      </c>
      <c r="J327" s="1" t="n">
        <f aca="false">C327-D327</f>
        <v>-0.0024</v>
      </c>
      <c r="K327" s="1" t="n">
        <f aca="false">G327-H327</f>
        <v>-0.008483</v>
      </c>
    </row>
    <row r="328" customFormat="false" ht="13.8" hidden="false" customHeight="false" outlineLevel="0" collapsed="false">
      <c r="A328" s="5" t="n">
        <v>35855</v>
      </c>
      <c r="B328" s="1" t="n">
        <v>0.0476</v>
      </c>
      <c r="C328" s="1" t="n">
        <v>0.0612</v>
      </c>
      <c r="D328" s="1" t="n">
        <v>0.0447</v>
      </c>
      <c r="E328" s="1" t="n">
        <v>0.0449</v>
      </c>
      <c r="F328" s="1" t="n">
        <v>0.0478</v>
      </c>
      <c r="G328" s="1" t="n">
        <v>0.055334</v>
      </c>
      <c r="H328" s="1" t="n">
        <v>0.041479</v>
      </c>
      <c r="J328" s="1" t="n">
        <f aca="false">C328-D328</f>
        <v>0.0165</v>
      </c>
      <c r="K328" s="1" t="n">
        <f aca="false">G328-H328</f>
        <v>0.013855</v>
      </c>
    </row>
    <row r="329" customFormat="false" ht="13.8" hidden="false" customHeight="false" outlineLevel="0" collapsed="false">
      <c r="A329" s="5" t="n">
        <v>35886</v>
      </c>
      <c r="B329" s="1" t="n">
        <v>0.0073</v>
      </c>
      <c r="C329" s="1" t="n">
        <v>0.0108</v>
      </c>
      <c r="D329" s="1" t="n">
        <v>0.0042</v>
      </c>
      <c r="E329" s="1" t="n">
        <v>0.0142</v>
      </c>
      <c r="F329" s="1" t="n">
        <v>0.0083</v>
      </c>
      <c r="G329" s="1" t="n">
        <v>0.012903</v>
      </c>
      <c r="H329" s="1" t="n">
        <v>0.0034855</v>
      </c>
      <c r="J329" s="1" t="n">
        <f aca="false">C329-D329</f>
        <v>0.0066</v>
      </c>
      <c r="K329" s="1" t="n">
        <f aca="false">G329-H329</f>
        <v>0.0094175</v>
      </c>
    </row>
    <row r="330" customFormat="false" ht="13.8" hidden="false" customHeight="false" outlineLevel="0" collapsed="false">
      <c r="A330" s="5" t="n">
        <v>35916</v>
      </c>
      <c r="B330" s="1" t="n">
        <v>-0.0307</v>
      </c>
      <c r="C330" s="1" t="n">
        <v>-0.0128</v>
      </c>
      <c r="D330" s="1" t="n">
        <v>-0.0287</v>
      </c>
      <c r="E330" s="1" t="n">
        <v>-0.0524</v>
      </c>
      <c r="F330" s="1" t="n">
        <v>-0.0227</v>
      </c>
      <c r="G330" s="1" t="n">
        <v>-0.017855</v>
      </c>
      <c r="H330" s="1" t="n">
        <v>-0.052214</v>
      </c>
      <c r="J330" s="1" t="n">
        <f aca="false">C330-D330</f>
        <v>0.0159</v>
      </c>
      <c r="K330" s="1" t="n">
        <f aca="false">G330-H330</f>
        <v>0.034359</v>
      </c>
    </row>
    <row r="331" customFormat="false" ht="13.8" hidden="false" customHeight="false" outlineLevel="0" collapsed="false">
      <c r="A331" s="5" t="n">
        <v>35947</v>
      </c>
      <c r="B331" s="1" t="n">
        <v>0.0318</v>
      </c>
      <c r="C331" s="1" t="n">
        <v>0.0135</v>
      </c>
      <c r="D331" s="1" t="n">
        <v>0.049</v>
      </c>
      <c r="E331" s="1" t="n">
        <v>-0.0093</v>
      </c>
      <c r="F331" s="1" t="n">
        <v>0.0389</v>
      </c>
      <c r="G331" s="1" t="n">
        <v>0.007124</v>
      </c>
      <c r="H331" s="1" t="n">
        <v>0.0267225</v>
      </c>
      <c r="J331" s="1" t="n">
        <f aca="false">C331-D331</f>
        <v>-0.0355</v>
      </c>
      <c r="K331" s="1" t="n">
        <f aca="false">G331-H331</f>
        <v>-0.0195985</v>
      </c>
    </row>
    <row r="332" customFormat="false" ht="13.8" hidden="false" customHeight="false" outlineLevel="0" collapsed="false">
      <c r="A332" s="5" t="n">
        <v>35977</v>
      </c>
      <c r="B332" s="1" t="n">
        <v>-0.0246</v>
      </c>
      <c r="C332" s="1" t="n">
        <v>-0.058</v>
      </c>
      <c r="D332" s="1" t="n">
        <v>-0.0158</v>
      </c>
      <c r="E332" s="1" t="n">
        <v>-0.0716</v>
      </c>
      <c r="F332" s="1" t="n">
        <v>-0.0154</v>
      </c>
      <c r="G332" s="1" t="n">
        <v>-0.06494</v>
      </c>
      <c r="H332" s="1" t="n">
        <v>-0.0471595</v>
      </c>
      <c r="J332" s="1" t="n">
        <f aca="false">C332-D332</f>
        <v>-0.0422</v>
      </c>
      <c r="K332" s="1" t="n">
        <f aca="false">G332-H332</f>
        <v>-0.0177805</v>
      </c>
    </row>
    <row r="333" customFormat="false" ht="13.8" hidden="false" customHeight="false" outlineLevel="0" collapsed="false">
      <c r="A333" s="5" t="n">
        <v>36008</v>
      </c>
      <c r="B333" s="1" t="n">
        <v>-0.1608</v>
      </c>
      <c r="C333" s="1" t="n">
        <v>-0.1411</v>
      </c>
      <c r="D333" s="1" t="n">
        <v>-0.1454</v>
      </c>
      <c r="E333" s="1" t="n">
        <v>-0.2194</v>
      </c>
      <c r="F333" s="1" t="n">
        <v>-0.1514</v>
      </c>
      <c r="G333" s="1" t="n">
        <v>-0.1589755</v>
      </c>
      <c r="H333" s="1" t="n">
        <v>-0.194316</v>
      </c>
      <c r="J333" s="1" t="n">
        <f aca="false">C333-D333</f>
        <v>0.0043</v>
      </c>
      <c r="K333" s="1" t="n">
        <f aca="false">G333-H333</f>
        <v>0.0353405</v>
      </c>
    </row>
    <row r="334" customFormat="false" ht="13.8" hidden="false" customHeight="false" outlineLevel="0" collapsed="false">
      <c r="A334" s="5" t="n">
        <v>36039</v>
      </c>
      <c r="B334" s="1" t="n">
        <v>0.0615</v>
      </c>
      <c r="C334" s="1" t="n">
        <v>0.0541</v>
      </c>
      <c r="D334" s="1" t="n">
        <v>0.0745</v>
      </c>
      <c r="E334" s="1" t="n">
        <v>0.0423</v>
      </c>
      <c r="F334" s="1" t="n">
        <v>0.0615</v>
      </c>
      <c r="G334" s="1" t="n">
        <v>0.046055</v>
      </c>
      <c r="H334" s="1" t="n">
        <v>0.080228</v>
      </c>
      <c r="J334" s="1" t="n">
        <f aca="false">C334-D334</f>
        <v>-0.0204</v>
      </c>
      <c r="K334" s="1" t="n">
        <f aca="false">G334-H334</f>
        <v>-0.034173</v>
      </c>
    </row>
    <row r="335" customFormat="false" ht="13.8" hidden="false" customHeight="false" outlineLevel="0" collapsed="false">
      <c r="A335" s="5" t="n">
        <v>36069</v>
      </c>
      <c r="B335" s="1" t="n">
        <v>0.0713</v>
      </c>
      <c r="C335" s="1" t="n">
        <v>0.04</v>
      </c>
      <c r="D335" s="1" t="n">
        <v>0.0751</v>
      </c>
      <c r="E335" s="1" t="n">
        <v>0.0232</v>
      </c>
      <c r="F335" s="1" t="n">
        <v>0.0767</v>
      </c>
      <c r="G335" s="1" t="n">
        <v>0.0363975</v>
      </c>
      <c r="H335" s="1" t="n">
        <v>0.058741</v>
      </c>
      <c r="J335" s="1" t="n">
        <f aca="false">C335-D335</f>
        <v>-0.0351</v>
      </c>
      <c r="K335" s="1" t="n">
        <f aca="false">G335-H335</f>
        <v>-0.0223435</v>
      </c>
    </row>
    <row r="336" customFormat="false" ht="13.8" hidden="false" customHeight="false" outlineLevel="0" collapsed="false">
      <c r="A336" s="5" t="n">
        <v>36100</v>
      </c>
      <c r="B336" s="1" t="n">
        <v>0.061</v>
      </c>
      <c r="C336" s="1" t="n">
        <v>0.0405</v>
      </c>
      <c r="D336" s="1" t="n">
        <v>0.0682</v>
      </c>
      <c r="E336" s="1" t="n">
        <v>0.0739</v>
      </c>
      <c r="F336" s="1" t="n">
        <v>0.0608</v>
      </c>
      <c r="G336" s="1" t="n">
        <v>0.0446855</v>
      </c>
      <c r="H336" s="1" t="n">
        <v>0.0772135</v>
      </c>
      <c r="J336" s="1" t="n">
        <f aca="false">C336-D336</f>
        <v>-0.0277</v>
      </c>
      <c r="K336" s="1" t="n">
        <f aca="false">G336-H336</f>
        <v>-0.032528</v>
      </c>
    </row>
    <row r="337" customFormat="false" ht="13.8" hidden="false" customHeight="false" outlineLevel="0" collapsed="false">
      <c r="A337" s="5" t="n">
        <v>36130</v>
      </c>
      <c r="B337" s="1" t="n">
        <v>0.0616</v>
      </c>
      <c r="C337" s="1" t="n">
        <v>0.0322</v>
      </c>
      <c r="D337" s="1" t="n">
        <v>0.0784</v>
      </c>
      <c r="E337" s="1" t="n">
        <v>0.0338</v>
      </c>
      <c r="F337" s="1" t="n">
        <v>0.0622</v>
      </c>
      <c r="G337" s="1" t="n">
        <v>0.02927</v>
      </c>
      <c r="H337" s="1" t="n">
        <v>0.0711275</v>
      </c>
      <c r="J337" s="1" t="n">
        <f aca="false">C337-D337</f>
        <v>-0.0462</v>
      </c>
      <c r="K337" s="1" t="n">
        <f aca="false">G337-H337</f>
        <v>-0.0418575</v>
      </c>
    </row>
    <row r="338" customFormat="false" ht="13.8" hidden="false" customHeight="false" outlineLevel="0" collapsed="false">
      <c r="A338" s="5" t="n">
        <v>36161</v>
      </c>
      <c r="B338" s="1" t="n">
        <v>0.035</v>
      </c>
      <c r="C338" s="1" t="n">
        <v>-0.0136</v>
      </c>
      <c r="D338" s="1" t="n">
        <v>0.0459</v>
      </c>
      <c r="E338" s="1" t="n">
        <v>0.0379</v>
      </c>
      <c r="F338" s="1" t="n">
        <v>0.0362</v>
      </c>
      <c r="G338" s="1" t="n">
        <v>-0.0059155</v>
      </c>
      <c r="H338" s="1" t="n">
        <v>0.0401245</v>
      </c>
      <c r="J338" s="1" t="n">
        <f aca="false">C338-D338</f>
        <v>-0.0595</v>
      </c>
      <c r="K338" s="1" t="n">
        <f aca="false">G338-H338</f>
        <v>-0.04604</v>
      </c>
    </row>
    <row r="339" customFormat="false" ht="13.8" hidden="false" customHeight="false" outlineLevel="0" collapsed="false">
      <c r="A339" s="5" t="n">
        <v>36192</v>
      </c>
      <c r="B339" s="1" t="n">
        <v>-0.0408</v>
      </c>
      <c r="C339" s="1" t="n">
        <v>-0.0294</v>
      </c>
      <c r="D339" s="1" t="n">
        <v>-0.0495</v>
      </c>
      <c r="E339" s="1" t="n">
        <v>-0.0749</v>
      </c>
      <c r="F339" s="1" t="n">
        <v>-0.0359</v>
      </c>
      <c r="G339" s="1" t="n">
        <v>-0.05084</v>
      </c>
      <c r="H339" s="1" t="n">
        <v>-0.070081</v>
      </c>
      <c r="J339" s="1" t="n">
        <f aca="false">C339-D339</f>
        <v>0.0201</v>
      </c>
      <c r="K339" s="1" t="n">
        <f aca="false">G339-H339</f>
        <v>0.019241</v>
      </c>
    </row>
    <row r="340" customFormat="false" ht="13.8" hidden="false" customHeight="false" outlineLevel="0" collapsed="false">
      <c r="A340" s="5" t="n">
        <v>36220</v>
      </c>
      <c r="B340" s="1" t="n">
        <v>0.0345</v>
      </c>
      <c r="C340" s="1" t="n">
        <v>-0.0009</v>
      </c>
      <c r="D340" s="1" t="n">
        <v>0.0341</v>
      </c>
      <c r="E340" s="1" t="n">
        <v>-0.0219</v>
      </c>
      <c r="F340" s="1" t="n">
        <v>0.0364</v>
      </c>
      <c r="G340" s="1" t="n">
        <v>-0.0126925</v>
      </c>
      <c r="H340" s="1" t="n">
        <v>0.014671</v>
      </c>
      <c r="J340" s="1" t="n">
        <f aca="false">C340-D340</f>
        <v>-0.035</v>
      </c>
      <c r="K340" s="1" t="n">
        <f aca="false">G340-H340</f>
        <v>-0.0273635</v>
      </c>
    </row>
    <row r="341" customFormat="false" ht="13.8" hidden="false" customHeight="false" outlineLevel="0" collapsed="false">
      <c r="A341" s="5" t="n">
        <v>36251</v>
      </c>
      <c r="B341" s="1" t="n">
        <v>0.0433</v>
      </c>
      <c r="C341" s="1" t="n">
        <v>0.0708</v>
      </c>
      <c r="D341" s="1" t="n">
        <v>0.0212</v>
      </c>
      <c r="E341" s="1" t="n">
        <v>0.0934</v>
      </c>
      <c r="F341" s="1" t="n">
        <v>0.0349</v>
      </c>
      <c r="G341" s="1" t="n">
        <v>0.077393</v>
      </c>
      <c r="H341" s="1" t="n">
        <v>0.052842</v>
      </c>
      <c r="J341" s="1" t="n">
        <f aca="false">C341-D341</f>
        <v>0.0496</v>
      </c>
      <c r="K341" s="1" t="n">
        <f aca="false">G341-H341</f>
        <v>0.024551</v>
      </c>
    </row>
    <row r="342" customFormat="false" ht="13.8" hidden="false" customHeight="false" outlineLevel="0" collapsed="false">
      <c r="A342" s="5" t="n">
        <v>36281</v>
      </c>
      <c r="B342" s="1" t="n">
        <v>-0.0246</v>
      </c>
      <c r="C342" s="1" t="n">
        <v>0.0059</v>
      </c>
      <c r="D342" s="1" t="n">
        <v>-0.0269</v>
      </c>
      <c r="E342" s="1" t="n">
        <v>0.0155</v>
      </c>
      <c r="F342" s="1" t="n">
        <v>-0.026</v>
      </c>
      <c r="G342" s="1" t="n">
        <v>0.016656</v>
      </c>
      <c r="H342" s="1" t="n">
        <v>-0.0068075</v>
      </c>
      <c r="J342" s="1" t="n">
        <f aca="false">C342-D342</f>
        <v>0.0328</v>
      </c>
      <c r="K342" s="1" t="n">
        <f aca="false">G342-H342</f>
        <v>0.0234635</v>
      </c>
    </row>
    <row r="343" customFormat="false" ht="13.8" hidden="false" customHeight="false" outlineLevel="0" collapsed="false">
      <c r="A343" s="5" t="n">
        <v>36312</v>
      </c>
      <c r="B343" s="1" t="n">
        <v>0.0477</v>
      </c>
      <c r="C343" s="1" t="n">
        <v>0.0116</v>
      </c>
      <c r="D343" s="1" t="n">
        <v>0.0615</v>
      </c>
      <c r="E343" s="1" t="n">
        <v>0.0664</v>
      </c>
      <c r="F343" s="1" t="n">
        <v>0.0465</v>
      </c>
      <c r="G343" s="1" t="n">
        <v>0.0300545</v>
      </c>
      <c r="H343" s="1" t="n">
        <v>0.061942</v>
      </c>
      <c r="J343" s="1" t="n">
        <f aca="false">C343-D343</f>
        <v>-0.0499</v>
      </c>
      <c r="K343" s="1" t="n">
        <f aca="false">G343-H343</f>
        <v>-0.0318875</v>
      </c>
    </row>
    <row r="344" customFormat="false" ht="13.8" hidden="false" customHeight="false" outlineLevel="0" collapsed="false">
      <c r="A344" s="5" t="n">
        <v>36342</v>
      </c>
      <c r="B344" s="1" t="n">
        <v>-0.0349</v>
      </c>
      <c r="C344" s="1" t="n">
        <v>-0.0309</v>
      </c>
      <c r="D344" s="1" t="n">
        <v>-0.0332</v>
      </c>
      <c r="E344" s="1" t="n">
        <v>0.0005</v>
      </c>
      <c r="F344" s="1" t="n">
        <v>-0.038</v>
      </c>
      <c r="G344" s="1" t="n">
        <v>-0.028754</v>
      </c>
      <c r="H344" s="1" t="n">
        <v>-0.0243695</v>
      </c>
      <c r="J344" s="1" t="n">
        <f aca="false">C344-D344</f>
        <v>0.0023</v>
      </c>
      <c r="K344" s="1" t="n">
        <f aca="false">G344-H344</f>
        <v>-0.0043845</v>
      </c>
    </row>
    <row r="345" customFormat="false" ht="13.8" hidden="false" customHeight="false" outlineLevel="0" collapsed="false">
      <c r="A345" s="5" t="n">
        <v>36373</v>
      </c>
      <c r="B345" s="1" t="n">
        <v>-0.0138</v>
      </c>
      <c r="C345" s="1" t="n">
        <v>-0.0359</v>
      </c>
      <c r="D345" s="1" t="n">
        <v>-0.0042</v>
      </c>
      <c r="E345" s="1" t="n">
        <v>-0.0391</v>
      </c>
      <c r="F345" s="1" t="n">
        <v>-0.0094</v>
      </c>
      <c r="G345" s="1" t="n">
        <v>-0.0362125</v>
      </c>
      <c r="H345" s="1" t="n">
        <v>-0.0174965</v>
      </c>
      <c r="J345" s="1" t="n">
        <f aca="false">C345-D345</f>
        <v>-0.0317</v>
      </c>
      <c r="K345" s="1" t="n">
        <f aca="false">G345-H345</f>
        <v>-0.018716</v>
      </c>
    </row>
    <row r="346" customFormat="false" ht="13.8" hidden="false" customHeight="false" outlineLevel="0" collapsed="false">
      <c r="A346" s="5" t="n">
        <v>36404</v>
      </c>
      <c r="B346" s="1" t="n">
        <v>-0.0279</v>
      </c>
      <c r="C346" s="1" t="n">
        <v>-0.0465</v>
      </c>
      <c r="D346" s="1" t="n">
        <v>-0.0211</v>
      </c>
      <c r="E346" s="1" t="n">
        <v>-0.0123</v>
      </c>
      <c r="F346" s="1" t="n">
        <v>-0.0322</v>
      </c>
      <c r="G346" s="1" t="n">
        <v>-0.0446225</v>
      </c>
      <c r="H346" s="1" t="n">
        <v>-0.009676</v>
      </c>
      <c r="J346" s="1" t="n">
        <f aca="false">C346-D346</f>
        <v>-0.0254</v>
      </c>
      <c r="K346" s="1" t="n">
        <f aca="false">G346-H346</f>
        <v>-0.0349465</v>
      </c>
    </row>
    <row r="347" customFormat="false" ht="13.8" hidden="false" customHeight="false" outlineLevel="0" collapsed="false">
      <c r="A347" s="5" t="n">
        <v>36434</v>
      </c>
      <c r="B347" s="1" t="n">
        <v>0.0612</v>
      </c>
      <c r="C347" s="1" t="n">
        <v>0.0052</v>
      </c>
      <c r="D347" s="1" t="n">
        <v>0.061</v>
      </c>
      <c r="E347" s="1" t="n">
        <v>-0.0119</v>
      </c>
      <c r="F347" s="1" t="n">
        <v>0.0661</v>
      </c>
      <c r="G347" s="1" t="n">
        <v>0.000410000000000002</v>
      </c>
      <c r="H347" s="1" t="n">
        <v>0.0340975</v>
      </c>
      <c r="J347" s="1" t="n">
        <f aca="false">C347-D347</f>
        <v>-0.0558</v>
      </c>
      <c r="K347" s="1" t="n">
        <f aca="false">G347-H347</f>
        <v>-0.0336875</v>
      </c>
    </row>
    <row r="348" customFormat="false" ht="13.8" hidden="false" customHeight="false" outlineLevel="0" collapsed="false">
      <c r="A348" s="5" t="n">
        <v>36465</v>
      </c>
      <c r="B348" s="1" t="n">
        <v>0.0337</v>
      </c>
      <c r="C348" s="1" t="n">
        <v>0.0199</v>
      </c>
      <c r="D348" s="1" t="n">
        <v>0.0407</v>
      </c>
      <c r="E348" s="1" t="n">
        <v>0.0972</v>
      </c>
      <c r="F348" s="1" t="n">
        <v>0.0231</v>
      </c>
      <c r="G348" s="1" t="n">
        <v>0.0229575</v>
      </c>
      <c r="H348" s="1" t="n">
        <v>0.0841635</v>
      </c>
      <c r="J348" s="1" t="n">
        <f aca="false">C348-D348</f>
        <v>-0.0208</v>
      </c>
      <c r="K348" s="1" t="n">
        <f aca="false">G348-H348</f>
        <v>-0.061206</v>
      </c>
    </row>
    <row r="349" customFormat="false" ht="13.8" hidden="false" customHeight="false" outlineLevel="0" collapsed="false">
      <c r="A349" s="5" t="n">
        <v>36495</v>
      </c>
      <c r="B349" s="1" t="n">
        <v>0.0772</v>
      </c>
      <c r="C349" s="1" t="n">
        <v>0.0427</v>
      </c>
      <c r="D349" s="1" t="n">
        <v>0.0818</v>
      </c>
      <c r="E349" s="1" t="n">
        <v>0.1205</v>
      </c>
      <c r="F349" s="1" t="n">
        <v>0.0629</v>
      </c>
      <c r="G349" s="1" t="n">
        <v>0.0455505</v>
      </c>
      <c r="H349" s="1" t="n">
        <v>0.1288135</v>
      </c>
      <c r="J349" s="1" t="n">
        <f aca="false">C349-D349</f>
        <v>-0.0391</v>
      </c>
      <c r="K349" s="1" t="n">
        <f aca="false">G349-H349</f>
        <v>-0.083263</v>
      </c>
    </row>
    <row r="350" customFormat="false" ht="13.8" hidden="false" customHeight="false" outlineLevel="0" collapsed="false">
      <c r="A350" s="5" t="n">
        <v>36526</v>
      </c>
      <c r="B350" s="1" t="n">
        <v>-0.0474</v>
      </c>
      <c r="C350" s="1" t="n">
        <v>-0.0475</v>
      </c>
      <c r="D350" s="1" t="n">
        <v>-0.0507</v>
      </c>
      <c r="E350" s="1" t="n">
        <v>0.0348</v>
      </c>
      <c r="F350" s="1" t="n">
        <v>-0.0497</v>
      </c>
      <c r="G350" s="1" t="n">
        <v>-0.041102</v>
      </c>
      <c r="H350" s="1" t="n">
        <v>-0.022308</v>
      </c>
      <c r="J350" s="1" t="n">
        <f aca="false">C350-D350</f>
        <v>0.0032</v>
      </c>
      <c r="K350" s="1" t="n">
        <f aca="false">G350-H350</f>
        <v>-0.018794</v>
      </c>
    </row>
    <row r="351" customFormat="false" ht="13.8" hidden="false" customHeight="false" outlineLevel="0" collapsed="false">
      <c r="A351" s="5" t="n">
        <v>36557</v>
      </c>
      <c r="B351" s="1" t="n">
        <v>0.0245</v>
      </c>
      <c r="C351" s="1" t="n">
        <v>0.0368</v>
      </c>
      <c r="D351" s="1" t="n">
        <v>0.0165</v>
      </c>
      <c r="E351" s="1" t="n">
        <v>0.2358</v>
      </c>
      <c r="F351" s="1" t="n">
        <v>-0.007</v>
      </c>
      <c r="G351" s="1" t="n">
        <v>0.046405</v>
      </c>
      <c r="H351" s="1" t="n">
        <v>0.1423505</v>
      </c>
      <c r="J351" s="1" t="n">
        <f aca="false">C351-D351</f>
        <v>0.0203</v>
      </c>
      <c r="K351" s="1" t="n">
        <f aca="false">G351-H351</f>
        <v>-0.0959455</v>
      </c>
    </row>
    <row r="352" customFormat="false" ht="13.8" hidden="false" customHeight="false" outlineLevel="0" collapsed="false">
      <c r="A352" s="5" t="n">
        <v>36586</v>
      </c>
      <c r="B352" s="1" t="n">
        <v>0.052</v>
      </c>
      <c r="C352" s="1" t="n">
        <v>0.056</v>
      </c>
      <c r="D352" s="1" t="n">
        <v>0.0734</v>
      </c>
      <c r="E352" s="1" t="n">
        <v>-0.0931</v>
      </c>
      <c r="F352" s="1" t="n">
        <v>0.0877</v>
      </c>
      <c r="G352" s="1" t="n">
        <v>0.052497</v>
      </c>
      <c r="H352" s="1" t="n">
        <v>-0.0287845</v>
      </c>
      <c r="J352" s="1" t="n">
        <f aca="false">C352-D352</f>
        <v>-0.0174</v>
      </c>
      <c r="K352" s="1" t="n">
        <f aca="false">G352-H352</f>
        <v>0.0812815</v>
      </c>
    </row>
    <row r="353" customFormat="false" ht="13.8" hidden="false" customHeight="false" outlineLevel="0" collapsed="false">
      <c r="A353" s="5" t="n">
        <v>36617</v>
      </c>
      <c r="B353" s="1" t="n">
        <v>-0.064</v>
      </c>
      <c r="C353" s="1" t="n">
        <v>-0.0238</v>
      </c>
      <c r="D353" s="1" t="n">
        <v>-0.0501</v>
      </c>
      <c r="E353" s="1" t="n">
        <v>-0.1448</v>
      </c>
      <c r="F353" s="1" t="n">
        <v>-0.0425</v>
      </c>
      <c r="G353" s="1" t="n">
        <v>-0.0263515</v>
      </c>
      <c r="H353" s="1" t="n">
        <v>-0.0989575</v>
      </c>
      <c r="J353" s="1" t="n">
        <f aca="false">C353-D353</f>
        <v>0.0263</v>
      </c>
      <c r="K353" s="1" t="n">
        <f aca="false">G353-H353</f>
        <v>0.072606</v>
      </c>
    </row>
    <row r="354" customFormat="false" ht="13.8" hidden="false" customHeight="false" outlineLevel="0" collapsed="false">
      <c r="A354" s="5" t="n">
        <v>36647</v>
      </c>
      <c r="B354" s="1" t="n">
        <v>-0.0442</v>
      </c>
      <c r="C354" s="1" t="n">
        <v>-0.006</v>
      </c>
      <c r="D354" s="1" t="n">
        <v>-0.0408</v>
      </c>
      <c r="E354" s="1" t="n">
        <v>-0.0916</v>
      </c>
      <c r="F354" s="1" t="n">
        <v>-0.0327</v>
      </c>
      <c r="G354" s="1" t="n">
        <v>-0.01225</v>
      </c>
      <c r="H354" s="1" t="n">
        <v>-0.059705</v>
      </c>
      <c r="J354" s="1" t="n">
        <f aca="false">C354-D354</f>
        <v>0.0348</v>
      </c>
      <c r="K354" s="1" t="n">
        <f aca="false">G354-H354</f>
        <v>0.047455</v>
      </c>
    </row>
    <row r="355" customFormat="false" ht="13.8" hidden="false" customHeight="false" outlineLevel="0" collapsed="false">
      <c r="A355" s="5" t="n">
        <v>36678</v>
      </c>
      <c r="B355" s="1" t="n">
        <v>0.0464</v>
      </c>
      <c r="C355" s="1" t="n">
        <v>0.0142</v>
      </c>
      <c r="D355" s="1" t="n">
        <v>0.0471</v>
      </c>
      <c r="E355" s="1" t="n">
        <v>0.1694</v>
      </c>
      <c r="F355" s="1" t="n">
        <v>0.0274</v>
      </c>
      <c r="G355" s="1" t="n">
        <v>0.02454</v>
      </c>
      <c r="H355" s="1" t="n">
        <v>0.1087555</v>
      </c>
      <c r="J355" s="1" t="n">
        <f aca="false">C355-D355</f>
        <v>-0.0329</v>
      </c>
      <c r="K355" s="1" t="n">
        <f aca="false">G355-H355</f>
        <v>-0.0842155</v>
      </c>
    </row>
    <row r="356" customFormat="false" ht="13.8" hidden="false" customHeight="false" outlineLevel="0" collapsed="false">
      <c r="A356" s="5" t="n">
        <v>36708</v>
      </c>
      <c r="B356" s="1" t="n">
        <v>-0.0251</v>
      </c>
      <c r="C356" s="1" t="n">
        <v>0.0311</v>
      </c>
      <c r="D356" s="1" t="n">
        <v>-0.0363</v>
      </c>
      <c r="E356" s="1" t="n">
        <v>-0.0216</v>
      </c>
      <c r="F356" s="1" t="n">
        <v>-0.0232</v>
      </c>
      <c r="G356" s="1" t="n">
        <v>0.027352</v>
      </c>
      <c r="H356" s="1" t="n">
        <v>-0.055702</v>
      </c>
      <c r="J356" s="1" t="n">
        <f aca="false">C356-D356</f>
        <v>0.0674</v>
      </c>
      <c r="K356" s="1" t="n">
        <f aca="false">G356-H356</f>
        <v>0.083054</v>
      </c>
    </row>
    <row r="357" customFormat="false" ht="13.8" hidden="false" customHeight="false" outlineLevel="0" collapsed="false">
      <c r="A357" s="5" t="n">
        <v>36739</v>
      </c>
      <c r="B357" s="1" t="n">
        <v>0.0703</v>
      </c>
      <c r="C357" s="1" t="n">
        <v>0.0634</v>
      </c>
      <c r="D357" s="1" t="n">
        <v>0.0711</v>
      </c>
      <c r="E357" s="1" t="n">
        <v>0.0535</v>
      </c>
      <c r="F357" s="1" t="n">
        <v>0.0717</v>
      </c>
      <c r="G357" s="1" t="n">
        <v>0.063005</v>
      </c>
      <c r="H357" s="1" t="n">
        <v>0.076883</v>
      </c>
      <c r="J357" s="1" t="n">
        <f aca="false">C357-D357</f>
        <v>-0.0077</v>
      </c>
      <c r="K357" s="1" t="n">
        <f aca="false">G357-H357</f>
        <v>-0.013878</v>
      </c>
    </row>
    <row r="358" customFormat="false" ht="13.8" hidden="false" customHeight="false" outlineLevel="0" collapsed="false">
      <c r="A358" s="5" t="n">
        <v>36770</v>
      </c>
      <c r="B358" s="1" t="n">
        <v>-0.0545</v>
      </c>
      <c r="C358" s="1" t="n">
        <v>0.0035</v>
      </c>
      <c r="D358" s="1" t="n">
        <v>-0.0651</v>
      </c>
      <c r="E358" s="1" t="n">
        <v>-0.0411</v>
      </c>
      <c r="F358" s="1" t="n">
        <v>-0.0534</v>
      </c>
      <c r="G358" s="1" t="n">
        <v>0.000451</v>
      </c>
      <c r="H358" s="1" t="n">
        <v>-0.0712855</v>
      </c>
      <c r="J358" s="1" t="n">
        <f aca="false">C358-D358</f>
        <v>0.0686</v>
      </c>
      <c r="K358" s="1" t="n">
        <f aca="false">G358-H358</f>
        <v>0.0717365</v>
      </c>
    </row>
    <row r="359" customFormat="false" ht="13.8" hidden="false" customHeight="false" outlineLevel="0" collapsed="false">
      <c r="A359" s="5" t="n">
        <v>36800</v>
      </c>
      <c r="B359" s="1" t="n">
        <v>-0.0276</v>
      </c>
      <c r="C359" s="1" t="n">
        <v>0.006</v>
      </c>
      <c r="D359" s="1" t="n">
        <v>-0.0274</v>
      </c>
      <c r="E359" s="1" t="n">
        <v>-0.0681</v>
      </c>
      <c r="F359" s="1" t="n">
        <v>-0.0234</v>
      </c>
      <c r="G359" s="1" t="n">
        <v>-0.000573</v>
      </c>
      <c r="H359" s="1" t="n">
        <v>-0.057712</v>
      </c>
      <c r="J359" s="1" t="n">
        <f aca="false">C359-D359</f>
        <v>0.0334</v>
      </c>
      <c r="K359" s="1" t="n">
        <f aca="false">G359-H359</f>
        <v>0.057139</v>
      </c>
    </row>
    <row r="360" customFormat="false" ht="13.8" hidden="false" customHeight="false" outlineLevel="0" collapsed="false">
      <c r="A360" s="5" t="n">
        <v>36831</v>
      </c>
      <c r="B360" s="1" t="n">
        <v>-0.1072</v>
      </c>
      <c r="C360" s="1" t="n">
        <v>-0.0119</v>
      </c>
      <c r="D360" s="1" t="n">
        <v>-0.112</v>
      </c>
      <c r="E360" s="1" t="n">
        <v>-0.1012</v>
      </c>
      <c r="F360" s="1" t="n">
        <v>-0.1021</v>
      </c>
      <c r="G360" s="1" t="n">
        <v>-0.017559</v>
      </c>
      <c r="H360" s="1" t="n">
        <v>-0.1405125</v>
      </c>
      <c r="J360" s="1" t="n">
        <f aca="false">C360-D360</f>
        <v>0.1001</v>
      </c>
      <c r="K360" s="1" t="n">
        <f aca="false">G360-H360</f>
        <v>0.1229535</v>
      </c>
    </row>
    <row r="361" customFormat="false" ht="13.8" hidden="false" customHeight="false" outlineLevel="0" collapsed="false">
      <c r="A361" s="5" t="n">
        <v>36861</v>
      </c>
      <c r="B361" s="1" t="n">
        <v>0.0119</v>
      </c>
      <c r="C361" s="1" t="n">
        <v>0.0851</v>
      </c>
      <c r="D361" s="1" t="n">
        <v>-0.0062</v>
      </c>
      <c r="E361" s="1" t="n">
        <v>0.02</v>
      </c>
      <c r="F361" s="1" t="n">
        <v>0.0063</v>
      </c>
      <c r="G361" s="1" t="n">
        <v>0.0841615</v>
      </c>
      <c r="H361" s="1" t="n">
        <v>0.008049</v>
      </c>
      <c r="J361" s="1" t="n">
        <f aca="false">C361-D361</f>
        <v>0.0913</v>
      </c>
      <c r="K361" s="1" t="n">
        <f aca="false">G361-H361</f>
        <v>0.0761125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2024-08-08T19:29:21Z</dcterms:created>
  <dc:creator/>
  <dc:description/>
  <dc:language>en-US</dc:language>
  <cp:lastModifiedBy/>
  <dcterms:modified xsi:type="dcterms:W3CDTF">2024-11-20T23:51:15Z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