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<sst xmlns="http://schemas.openxmlformats.org/spreadsheetml/2006/main" count="48" uniqueCount="40">
  <si>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Month</t>
  </si>
  <si>
    <t xml:space="preserve">Risk-free</t>
  </si>
  <si>
    <t xml:space="preserve">Market</t>
  </si>
  <si>
    <t xml:space="preserve">Value</t>
  </si>
  <si>
    <t xml:space="preserve">Growth</t>
  </si>
  <si>
    <t xml:space="preserve">Market excess</t>
  </si>
  <si>
    <t xml:space="preserve">Value minus growth</t>
  </si>
  <si>
    <t xml:space="preserve">Just rf and mkt, 1% vol</t>
  </si>
  <si>
    <t xml:space="preserve">Gross</t>
  </si>
  <si>
    <t xml:space="preserve">Optimal risky</t>
  </si>
  <si>
    <t xml:space="preserve">Rf and optimal risky</t>
  </si>
  <si>
    <t xml:space="preserve">Market portfolio alone:</t>
  </si>
  <si>
    <t xml:space="preserve">Average monthly excess return:</t>
  </si>
  <si>
    <t xml:space="preserve">Volatility of monthly exc return:</t>
  </si>
  <si>
    <t xml:space="preserve">Sharpe ratio:</t>
  </si>
  <si>
    <t xml:space="preserve">Dollar-neutral:</t>
  </si>
  <si>
    <t xml:space="preserve">Correlation to market:</t>
  </si>
  <si>
    <t xml:space="preserve">Beta:</t>
  </si>
  <si>
    <t xml:space="preserve">Alpha:</t>
  </si>
  <si>
    <t xml:space="preserve">Information ratio:</t>
  </si>
  <si>
    <t xml:space="preserve">Maximum SR using mkt and d-n:</t>
  </si>
  <si>
    <t xml:space="preserve">Average risk-free return</t>
  </si>
  <si>
    <t xml:space="preserve">We will use this below</t>
  </si>
  <si>
    <t xml:space="preserve">Analysis for an investor who wants 1% volatility of monthly excess return:</t>
  </si>
  <si>
    <t xml:space="preserve">If they only allocate to the market index fund in their risky portfolio:</t>
  </si>
  <si>
    <t xml:space="preserve">Optimal allocation to risky:</t>
  </si>
  <si>
    <t xml:space="preserve">Cumulative value of $1 invested initially:</t>
  </si>
  <si>
    <t xml:space="preserve">Approximation formula</t>
  </si>
  <si>
    <t xml:space="preserve">Direct calculation</t>
  </si>
  <si>
    <t xml:space="preserve">If they allocate optimally between the index fund and dollar-neutral:</t>
  </si>
  <si>
    <t xml:space="preserve">First we figure out what the optimal allocation is: Remember this is just about maximizing the Sharpe ratio.</t>
  </si>
  <si>
    <t xml:space="preserve">Mu (vector of avg returns)</t>
  </si>
  <si>
    <t xml:space="preserve">Sigma (cov matrix)</t>
  </si>
  <si>
    <t xml:space="preserve">Optimal risky weight on mkt, unscaled:</t>
  </si>
  <si>
    <t xml:space="preserve">Optimal risky weight on d-n, unscaled:</t>
  </si>
  <si>
    <t xml:space="preserve">Optimal risky weight on mkt:</t>
  </si>
  <si>
    <t xml:space="preserve">Optimal risky weight on d-n:</t>
  </si>
  <si>
    <t xml:space="preserve">Avg excess return of that risky portfolio:</t>
  </si>
  <si>
    <t xml:space="preserve">Vol of excess return of that portfolio:</t>
  </si>
  <si>
    <t xml:space="preserve">Sharpe ratio of that risky portfolio: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</si>
</sst>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0"/>
    <numFmt numFmtId="167" formatCode="yyyy\-mm"/>
    <numFmt numFmtId="168" formatCode="0.0000"/>
    <numFmt numFmtId="169" formatCode="[$$-409]#,##0.00;[RED]\-[$$-409]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6796875" defaultRowHeight="15" zeroHeight="false" outlineLevelRow="0" outlineLevelCol="0"/>
  <cols>
    <col collapsed="false" customWidth="false" hidden="false" outlineLevel="0" max="5" min="2" style="1" width="8.68"/>
    <col collapsed="false" customWidth="true" hidden="false" outlineLevel="0" max="7" min="7" style="0" width="13.4"/>
    <col collapsed="false" customWidth="true" hidden="false" outlineLevel="0" max="9" min="9" style="0" width="18.41"/>
    <col collapsed="false" customWidth="true" hidden="false" outlineLevel="0" max="11" min="11" style="0" width="20.63"/>
    <col collapsed="false" customWidth="false" hidden="false" outlineLevel="0" max="12" min="12" style="2" width="8.68"/>
    <col collapsed="false" customWidth="true" hidden="false" outlineLevel="0" max="15" min="14" style="0" width="17.98"/>
    <col collapsed="false" customWidth="false" hidden="false" outlineLevel="0" max="16" min="16" style="2" width="8.68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5" t="s">
        <v>5</v>
      </c>
      <c r="I1" s="5" t="s">
        <v>6</v>
      </c>
      <c r="K1" s="5" t="s">
        <v>7</v>
      </c>
      <c r="L1" s="2" t="s">
        <v>8</v>
      </c>
      <c r="N1" s="5" t="s">
        <v>9</v>
      </c>
      <c r="O1" s="5" t="s">
        <v>10</v>
      </c>
      <c r="P1" s="2" t="s">
        <v>8</v>
      </c>
    </row>
    <row r="2" customFormat="false" ht="15" hidden="false" customHeight="false" outlineLevel="0" collapsed="false">
      <c r="A2" s="6" t="n">
        <v>25934</v>
      </c>
      <c r="B2" s="1" t="n">
        <v>0.0038</v>
      </c>
      <c r="C2" s="1" t="n">
        <v>0.0521</v>
      </c>
      <c r="D2" s="1" t="n">
        <v>0.0651</v>
      </c>
      <c r="E2" s="1" t="n">
        <v>0.0506</v>
      </c>
      <c r="G2" s="1" t="n">
        <f aca="false">C2-$B2</f>
        <v>0.0483</v>
      </c>
      <c r="I2" s="1" t="n">
        <f aca="false">D2-E2</f>
        <v>0.0145</v>
      </c>
      <c r="K2" s="1" t="n">
        <f aca="false">(1-Analysis!$C$21)*B2 + Analysis!$C$21*C2</f>
        <v>0.0143188699896094</v>
      </c>
      <c r="L2" s="2" t="n">
        <f aca="false">1+K2</f>
        <v>1.01431886998961</v>
      </c>
      <c r="N2" s="1" t="n">
        <f aca="false">Analysis!$C$35*G2+Analysis!$C$36*I2</f>
        <v>0.0283500813405284</v>
      </c>
      <c r="O2" s="1" t="n">
        <f aca="false">B2+Analysis!$C$42*N2</f>
        <v>0.0167179033897444</v>
      </c>
      <c r="P2" s="2" t="n">
        <f aca="false">1+O2</f>
        <v>1.01671790338974</v>
      </c>
    </row>
    <row r="3" customFormat="false" ht="15" hidden="false" customHeight="false" outlineLevel="0" collapsed="false">
      <c r="A3" s="6" t="n">
        <v>25965</v>
      </c>
      <c r="B3" s="1" t="n">
        <v>0.0033</v>
      </c>
      <c r="C3" s="1" t="n">
        <v>0.0174</v>
      </c>
      <c r="D3" s="1" t="n">
        <v>0.0209</v>
      </c>
      <c r="E3" s="1" t="n">
        <v>0.0253</v>
      </c>
      <c r="G3" s="1" t="n">
        <f aca="false">C3-$B3</f>
        <v>0.0141</v>
      </c>
      <c r="I3" s="1" t="n">
        <f aca="false">D3-E3</f>
        <v>-0.0044</v>
      </c>
      <c r="K3" s="1" t="n">
        <f aca="false">(1-Analysis!$C$21)*B3 + Analysis!$C$21*C3</f>
        <v>0.00637072602181144</v>
      </c>
      <c r="L3" s="2" t="n">
        <f aca="false">1+K3</f>
        <v>1.00637072602181</v>
      </c>
      <c r="N3" s="1" t="n">
        <f aca="false">Analysis!$C$35*G3+Analysis!$C$36*I3</f>
        <v>0.00318066582247859</v>
      </c>
      <c r="O3" s="1" t="n">
        <f aca="false">B3+Analysis!$C$42*N3</f>
        <v>0.00474929156697349</v>
      </c>
      <c r="P3" s="2" t="n">
        <f aca="false">1+O3</f>
        <v>1.00474929156697</v>
      </c>
    </row>
    <row r="4" customFormat="false" ht="15" hidden="false" customHeight="false" outlineLevel="0" collapsed="false">
      <c r="A4" s="6" t="n">
        <v>25993</v>
      </c>
      <c r="B4" s="1" t="n">
        <v>0.003</v>
      </c>
      <c r="C4" s="1" t="n">
        <v>0.0442</v>
      </c>
      <c r="D4" s="1" t="n">
        <v>0.0245</v>
      </c>
      <c r="E4" s="1" t="n">
        <v>0.0605</v>
      </c>
      <c r="G4" s="1" t="n">
        <f aca="false">C4-$B4</f>
        <v>0.0412</v>
      </c>
      <c r="I4" s="1" t="n">
        <f aca="false">D4-E4</f>
        <v>-0.036</v>
      </c>
      <c r="K4" s="1" t="n">
        <f aca="false">(1-Analysis!$C$21)*B4 + Analysis!$C$21*C4</f>
        <v>0.0119726178793356</v>
      </c>
      <c r="L4" s="2" t="n">
        <f aca="false">1+K4</f>
        <v>1.01197261787934</v>
      </c>
      <c r="N4" s="1" t="n">
        <f aca="false">Analysis!$C$35*G4+Analysis!$C$36*I4</f>
        <v>-0.00436608640565692</v>
      </c>
      <c r="O4" s="1" t="n">
        <f aca="false">B4+Analysis!$C$42*N4</f>
        <v>0.00101056364875667</v>
      </c>
      <c r="P4" s="2" t="n">
        <f aca="false">1+O4</f>
        <v>1.00101056364876</v>
      </c>
    </row>
    <row r="5" customFormat="false" ht="15" hidden="false" customHeight="false" outlineLevel="0" collapsed="false">
      <c r="A5" s="6" t="n">
        <v>26024</v>
      </c>
      <c r="B5" s="1" t="n">
        <v>0.0028</v>
      </c>
      <c r="C5" s="1" t="n">
        <v>0.0343</v>
      </c>
      <c r="D5" s="1" t="n">
        <v>0.0495</v>
      </c>
      <c r="E5" s="1" t="n">
        <v>0.0385</v>
      </c>
      <c r="G5" s="1" t="n">
        <f aca="false">C5-$B5</f>
        <v>0.0315</v>
      </c>
      <c r="I5" s="1" t="n">
        <f aca="false">D5-E5</f>
        <v>0.011</v>
      </c>
      <c r="K5" s="1" t="n">
        <f aca="false">(1-Analysis!$C$21)*B5 + Analysis!$C$21*C5</f>
        <v>0.00966013260191918</v>
      </c>
      <c r="L5" s="2" t="n">
        <f aca="false">1+K5</f>
        <v>1.00966013260192</v>
      </c>
      <c r="N5" s="1" t="n">
        <f aca="false">Analysis!$C$35*G5+Analysis!$C$36*I5</f>
        <v>0.0194001972627465</v>
      </c>
      <c r="O5" s="1" t="n">
        <f aca="false">B5+Analysis!$C$42*N5</f>
        <v>0.0116398290986164</v>
      </c>
      <c r="P5" s="2" t="n">
        <f aca="false">1+O5</f>
        <v>1.01163982909862</v>
      </c>
    </row>
    <row r="6" customFormat="false" ht="15" hidden="false" customHeight="false" outlineLevel="0" collapsed="false">
      <c r="A6" s="6" t="n">
        <v>26054</v>
      </c>
      <c r="B6" s="1" t="n">
        <v>0.0029</v>
      </c>
      <c r="C6" s="1" t="n">
        <v>-0.037</v>
      </c>
      <c r="D6" s="1" t="n">
        <v>-0.0472</v>
      </c>
      <c r="E6" s="1" t="n">
        <v>-0.0287</v>
      </c>
      <c r="G6" s="1" t="n">
        <f aca="false">C6-$B6</f>
        <v>-0.0399</v>
      </c>
      <c r="I6" s="1" t="n">
        <f aca="false">D6-E6</f>
        <v>-0.0185</v>
      </c>
      <c r="K6" s="1" t="n">
        <f aca="false">(1-Analysis!$C$21)*B6 + Analysis!$C$21*C6</f>
        <v>-0.00578950129576429</v>
      </c>
      <c r="L6" s="2" t="n">
        <f aca="false">1+K6</f>
        <v>0.994210498704236</v>
      </c>
      <c r="N6" s="1" t="n">
        <f aca="false">Analysis!$C$35*G6+Analysis!$C$36*I6</f>
        <v>-0.0272689864108671</v>
      </c>
      <c r="O6" s="1" t="n">
        <f aca="false">B6+Analysis!$C$42*N6</f>
        <v>-0.00952529528436511</v>
      </c>
      <c r="P6" s="2" t="n">
        <f aca="false">1+O6</f>
        <v>0.990474704715635</v>
      </c>
    </row>
    <row r="7" customFormat="false" ht="15" hidden="false" customHeight="false" outlineLevel="0" collapsed="false">
      <c r="A7" s="6" t="n">
        <v>26085</v>
      </c>
      <c r="B7" s="1" t="n">
        <v>0.0037</v>
      </c>
      <c r="C7" s="1" t="n">
        <v>0.0028</v>
      </c>
      <c r="D7" s="1" t="n">
        <v>-0.0041</v>
      </c>
      <c r="E7" s="1" t="n">
        <v>0.0108</v>
      </c>
      <c r="G7" s="1" t="n">
        <f aca="false">C7-$B7</f>
        <v>-0.0009</v>
      </c>
      <c r="I7" s="1" t="n">
        <f aca="false">D7-E7</f>
        <v>-0.0149</v>
      </c>
      <c r="K7" s="1" t="n">
        <f aca="false">(1-Analysis!$C$21)*B7 + Analysis!$C$21*C7</f>
        <v>0.00350399621137374</v>
      </c>
      <c r="L7" s="2" t="n">
        <f aca="false">1+K7</f>
        <v>1.00350399621137</v>
      </c>
      <c r="N7" s="1" t="n">
        <f aca="false">Analysis!$C$35*G7+Analysis!$C$36*I7</f>
        <v>-0.00916327991812431</v>
      </c>
      <c r="O7" s="1" t="n">
        <f aca="false">B7+Analysis!$C$42*N7</f>
        <v>-0.000475309527112233</v>
      </c>
      <c r="P7" s="2" t="n">
        <f aca="false">1+O7</f>
        <v>0.999524690472888</v>
      </c>
    </row>
    <row r="8" customFormat="false" ht="15" hidden="false" customHeight="false" outlineLevel="0" collapsed="false">
      <c r="A8" s="6" t="n">
        <v>26115</v>
      </c>
      <c r="B8" s="1" t="n">
        <v>0.004</v>
      </c>
      <c r="C8" s="1" t="n">
        <v>-0.0409</v>
      </c>
      <c r="D8" s="1" t="n">
        <v>-0.0516</v>
      </c>
      <c r="E8" s="1" t="n">
        <v>-0.0423</v>
      </c>
      <c r="G8" s="1" t="n">
        <f aca="false">C8-$B8</f>
        <v>-0.0449</v>
      </c>
      <c r="I8" s="1" t="n">
        <f aca="false">D8-E8</f>
        <v>-0.0093</v>
      </c>
      <c r="K8" s="1" t="n">
        <f aca="false">(1-Analysis!$C$21)*B8 + Analysis!$C$21*C8</f>
        <v>-0.00577841123257687</v>
      </c>
      <c r="L8" s="2" t="n">
        <f aca="false">1+K8</f>
        <v>0.994221588767423</v>
      </c>
      <c r="N8" s="1" t="n">
        <f aca="false">Analysis!$C$35*G8+Analysis!$C$36*I8</f>
        <v>-0.0238876596367696</v>
      </c>
      <c r="O8" s="1" t="n">
        <f aca="false">B8+Analysis!$C$42*N8</f>
        <v>-0.00688457121827558</v>
      </c>
      <c r="P8" s="2" t="n">
        <f aca="false">1+O8</f>
        <v>0.993115428781724</v>
      </c>
    </row>
    <row r="9" customFormat="false" ht="15" hidden="false" customHeight="false" outlineLevel="0" collapsed="false">
      <c r="A9" s="6" t="n">
        <v>26146</v>
      </c>
      <c r="B9" s="1" t="n">
        <v>0.0047</v>
      </c>
      <c r="C9" s="1" t="n">
        <v>0.0426</v>
      </c>
      <c r="D9" s="1" t="n">
        <v>0.0803</v>
      </c>
      <c r="E9" s="1" t="n">
        <v>0.0546</v>
      </c>
      <c r="G9" s="1" t="n">
        <f aca="false">C9-$B9</f>
        <v>0.0379</v>
      </c>
      <c r="I9" s="1" t="n">
        <f aca="false">D9-E9</f>
        <v>0.0257</v>
      </c>
      <c r="K9" s="1" t="n">
        <f aca="false">(1-Analysis!$C$21)*B9 + Analysis!$C$21*C9</f>
        <v>0.0129539373210393</v>
      </c>
      <c r="L9" s="2" t="n">
        <f aca="false">1+K9</f>
        <v>1.01295393732104</v>
      </c>
      <c r="N9" s="1" t="n">
        <f aca="false">Analysis!$C$35*G9+Analysis!$C$36*I9</f>
        <v>0.0306991417856345</v>
      </c>
      <c r="O9" s="1" t="n">
        <f aca="false">B9+Analysis!$C$42*N9</f>
        <v>0.0186882684275749</v>
      </c>
      <c r="P9" s="2" t="n">
        <f aca="false">1+O9</f>
        <v>1.01868826842757</v>
      </c>
    </row>
    <row r="10" customFormat="false" ht="15" hidden="false" customHeight="false" outlineLevel="0" collapsed="false">
      <c r="A10" s="6" t="n">
        <v>26177</v>
      </c>
      <c r="B10" s="1" t="n">
        <v>0.0037</v>
      </c>
      <c r="C10" s="1" t="n">
        <v>-0.0049</v>
      </c>
      <c r="D10" s="1" t="n">
        <v>-0.0241</v>
      </c>
      <c r="E10" s="1" t="n">
        <v>0.0039</v>
      </c>
      <c r="G10" s="1" t="n">
        <f aca="false">C10-$B10</f>
        <v>-0.0086</v>
      </c>
      <c r="I10" s="1" t="n">
        <f aca="false">D10-E10</f>
        <v>-0.028</v>
      </c>
      <c r="K10" s="1" t="n">
        <f aca="false">(1-Analysis!$C$21)*B10 + Analysis!$C$21*C10</f>
        <v>0.00182707490868238</v>
      </c>
      <c r="L10" s="2" t="n">
        <f aca="false">1+K10</f>
        <v>1.00182707490868</v>
      </c>
      <c r="N10" s="1" t="n">
        <f aca="false">Analysis!$C$35*G10+Analysis!$C$36*I10</f>
        <v>-0.0200505450294008</v>
      </c>
      <c r="O10" s="1" t="n">
        <f aca="false">B10+Analysis!$C$42*N10</f>
        <v>-0.00543616439016159</v>
      </c>
      <c r="P10" s="2" t="n">
        <f aca="false">1+O10</f>
        <v>0.994563835609838</v>
      </c>
    </row>
    <row r="11" customFormat="false" ht="15" hidden="false" customHeight="false" outlineLevel="0" collapsed="false">
      <c r="A11" s="6" t="n">
        <v>26207</v>
      </c>
      <c r="B11" s="1" t="n">
        <v>0.0037</v>
      </c>
      <c r="C11" s="1" t="n">
        <v>-0.0405</v>
      </c>
      <c r="D11" s="1" t="n">
        <v>-0.0484</v>
      </c>
      <c r="E11" s="1" t="n">
        <v>-0.04</v>
      </c>
      <c r="G11" s="1" t="n">
        <f aca="false">C11-$B11</f>
        <v>-0.0442</v>
      </c>
      <c r="I11" s="1" t="n">
        <f aca="false">D11-E11</f>
        <v>-0.0084</v>
      </c>
      <c r="K11" s="1" t="n">
        <f aca="false">(1-Analysis!$C$21)*B11 + Analysis!$C$21*C11</f>
        <v>-0.0059259638414231</v>
      </c>
      <c r="L11" s="2" t="n">
        <f aca="false">1+K11</f>
        <v>0.994074036158577</v>
      </c>
      <c r="N11" s="1" t="n">
        <f aca="false">Analysis!$C$35*G11+Analysis!$C$36*I11</f>
        <v>-0.0230696127807964</v>
      </c>
      <c r="O11" s="1" t="n">
        <f aca="false">B11+Analysis!$C$42*N11</f>
        <v>-0.00681182271971522</v>
      </c>
      <c r="P11" s="2" t="n">
        <f aca="false">1+O11</f>
        <v>0.993188177280285</v>
      </c>
    </row>
    <row r="12" customFormat="false" ht="15" hidden="false" customHeight="false" outlineLevel="0" collapsed="false">
      <c r="A12" s="6" t="n">
        <v>26238</v>
      </c>
      <c r="B12" s="1" t="n">
        <v>0.0037</v>
      </c>
      <c r="C12" s="1" t="n">
        <v>-0.0009</v>
      </c>
      <c r="D12" s="1" t="n">
        <v>-0.0203</v>
      </c>
      <c r="E12" s="1" t="n">
        <v>0.0069</v>
      </c>
      <c r="G12" s="1" t="n">
        <f aca="false">C12-$B12</f>
        <v>-0.0046</v>
      </c>
      <c r="I12" s="1" t="n">
        <f aca="false">D12-E12</f>
        <v>-0.0272</v>
      </c>
      <c r="K12" s="1" t="n">
        <f aca="false">(1-Analysis!$C$21)*B12 + Analysis!$C$21*C12</f>
        <v>0.00269820285813244</v>
      </c>
      <c r="L12" s="2" t="n">
        <f aca="false">1+K12</f>
        <v>1.00269820285813</v>
      </c>
      <c r="N12" s="1" t="n">
        <f aca="false">Analysis!$C$35*G12+Analysis!$C$36*I12</f>
        <v>-0.0179392947249721</v>
      </c>
      <c r="O12" s="1" t="n">
        <f aca="false">B12+Analysis!$C$42*N12</f>
        <v>-0.00447415912687544</v>
      </c>
      <c r="P12" s="2" t="n">
        <f aca="false">1+O12</f>
        <v>0.995525840873125</v>
      </c>
    </row>
    <row r="13" customFormat="false" ht="15" hidden="false" customHeight="false" outlineLevel="0" collapsed="false">
      <c r="A13" s="6" t="n">
        <v>26268</v>
      </c>
      <c r="B13" s="1" t="n">
        <v>0.0037</v>
      </c>
      <c r="C13" s="1" t="n">
        <v>0.0908</v>
      </c>
      <c r="D13" s="1" t="n">
        <v>0.1009</v>
      </c>
      <c r="E13" s="1" t="n">
        <v>0.0915</v>
      </c>
      <c r="G13" s="1" t="n">
        <f aca="false">C13-$B13</f>
        <v>0.0871</v>
      </c>
      <c r="I13" s="1" t="n">
        <f aca="false">D13-E13</f>
        <v>0.00940000000000001</v>
      </c>
      <c r="K13" s="1" t="n">
        <f aca="false">(1-Analysis!$C$21)*B13 + Analysis!$C$21*C13</f>
        <v>0.0226688110992749</v>
      </c>
      <c r="L13" s="2" t="n">
        <f aca="false">1+K13</f>
        <v>1.02266881109928</v>
      </c>
      <c r="N13" s="1" t="n">
        <f aca="false">Analysis!$C$35*G13+Analysis!$C$36*I13</f>
        <v>0.0412387964544101</v>
      </c>
      <c r="O13" s="1" t="n">
        <f aca="false">B13+Analysis!$C$42*N13</f>
        <v>0.0224907322772244</v>
      </c>
      <c r="P13" s="2" t="n">
        <f aca="false">1+O13</f>
        <v>1.02249073227722</v>
      </c>
    </row>
    <row r="14" customFormat="false" ht="15" hidden="false" customHeight="false" outlineLevel="0" collapsed="false">
      <c r="A14" s="6" t="n">
        <v>26299</v>
      </c>
      <c r="B14" s="1" t="n">
        <v>0.0029</v>
      </c>
      <c r="C14" s="1" t="n">
        <v>0.0276</v>
      </c>
      <c r="D14" s="1" t="n">
        <v>0.0648</v>
      </c>
      <c r="E14" s="1" t="n">
        <v>0.0293</v>
      </c>
      <c r="G14" s="1" t="n">
        <f aca="false">C14-$B14</f>
        <v>0.0247</v>
      </c>
      <c r="I14" s="1" t="n">
        <f aca="false">D14-E14</f>
        <v>0.0355</v>
      </c>
      <c r="K14" s="1" t="n">
        <f aca="false">(1-Analysis!$C$21)*B14 + Analysis!$C$21*C14</f>
        <v>0.00827921508785409</v>
      </c>
      <c r="L14" s="2" t="n">
        <f aca="false">1+K14</f>
        <v>1.00827921508785</v>
      </c>
      <c r="N14" s="1" t="n">
        <f aca="false">Analysis!$C$35*G14+Analysis!$C$36*I14</f>
        <v>0.0310745302225531</v>
      </c>
      <c r="O14" s="1" t="n">
        <f aca="false">B14+Analysis!$C$42*N14</f>
        <v>0.0170593166691476</v>
      </c>
      <c r="P14" s="2" t="n">
        <f aca="false">1+O14</f>
        <v>1.01705931666915</v>
      </c>
    </row>
    <row r="15" customFormat="false" ht="15" hidden="false" customHeight="false" outlineLevel="0" collapsed="false">
      <c r="A15" s="6" t="n">
        <v>26330</v>
      </c>
      <c r="B15" s="1" t="n">
        <v>0.0025</v>
      </c>
      <c r="C15" s="1" t="n">
        <v>0.0312</v>
      </c>
      <c r="D15" s="1" t="n">
        <v>0.0141</v>
      </c>
      <c r="E15" s="1" t="n">
        <v>0.0456</v>
      </c>
      <c r="G15" s="1" t="n">
        <f aca="false">C15-$B15</f>
        <v>0.0287</v>
      </c>
      <c r="I15" s="1" t="n">
        <f aca="false">D15-E15</f>
        <v>-0.0315</v>
      </c>
      <c r="K15" s="1" t="n">
        <f aca="false">(1-Analysis!$C$21)*B15 + Analysis!$C$21*C15</f>
        <v>0.00875034303730414</v>
      </c>
      <c r="L15" s="2" t="n">
        <f aca="false">1+K15</f>
        <v>1.0087503430373</v>
      </c>
      <c r="N15" s="1" t="n">
        <f aca="false">Analysis!$C$35*G15+Analysis!$C$36*I15</f>
        <v>-0.00683210364793453</v>
      </c>
      <c r="O15" s="1" t="n">
        <f aca="false">B15+Analysis!$C$42*N15</f>
        <v>-0.000613093532700733</v>
      </c>
      <c r="P15" s="2" t="n">
        <f aca="false">1+O15</f>
        <v>0.999386906467299</v>
      </c>
    </row>
    <row r="16" customFormat="false" ht="15" hidden="false" customHeight="false" outlineLevel="0" collapsed="false">
      <c r="A16" s="6" t="n">
        <v>26359</v>
      </c>
      <c r="B16" s="1" t="n">
        <v>0.0027</v>
      </c>
      <c r="C16" s="1" t="n">
        <v>0.0089</v>
      </c>
      <c r="D16" s="1" t="n">
        <v>0.0058</v>
      </c>
      <c r="E16" s="1" t="n">
        <v>0.0216</v>
      </c>
      <c r="G16" s="1" t="n">
        <f aca="false">C16-$B16</f>
        <v>0.0062</v>
      </c>
      <c r="I16" s="1" t="n">
        <f aca="false">D16-E16</f>
        <v>-0.0158</v>
      </c>
      <c r="K16" s="1" t="n">
        <f aca="false">(1-Analysis!$C$21)*B16 + Analysis!$C$21*C16</f>
        <v>0.00405024832164759</v>
      </c>
      <c r="L16" s="2" t="n">
        <f aca="false">1+K16</f>
        <v>1.00405024832165</v>
      </c>
      <c r="N16" s="1" t="n">
        <f aca="false">Analysis!$C$35*G16+Analysis!$C$36*I16</f>
        <v>-0.00678515415705249</v>
      </c>
      <c r="O16" s="1" t="n">
        <f aca="false">B16+Analysis!$C$42*N16</f>
        <v>-0.000391700684471233</v>
      </c>
      <c r="P16" s="2" t="n">
        <f aca="false">1+O16</f>
        <v>0.999608299315529</v>
      </c>
    </row>
    <row r="17" customFormat="false" ht="15" hidden="false" customHeight="false" outlineLevel="0" collapsed="false">
      <c r="A17" s="6" t="n">
        <v>26390</v>
      </c>
      <c r="B17" s="1" t="n">
        <v>0.0029</v>
      </c>
      <c r="C17" s="1" t="n">
        <v>0.0058</v>
      </c>
      <c r="D17" s="1" t="n">
        <v>0.0093</v>
      </c>
      <c r="E17" s="1" t="n">
        <v>0.0079</v>
      </c>
      <c r="G17" s="1" t="n">
        <f aca="false">C17-$B17</f>
        <v>0.0029</v>
      </c>
      <c r="I17" s="1" t="n">
        <f aca="false">D17-E17</f>
        <v>0.0014</v>
      </c>
      <c r="K17" s="1" t="n">
        <f aca="false">(1-Analysis!$C$21)*B17 + Analysis!$C$21*C17</f>
        <v>0.00353156776335129</v>
      </c>
      <c r="L17" s="2" t="n">
        <f aca="false">1+K17</f>
        <v>1.00353156776335</v>
      </c>
      <c r="N17" s="1" t="n">
        <f aca="false">Analysis!$C$35*G17+Analysis!$C$36*I17</f>
        <v>0.00201464858020097</v>
      </c>
      <c r="O17" s="1" t="n">
        <f aca="false">B17+Analysis!$C$42*N17</f>
        <v>0.00381798804422184</v>
      </c>
      <c r="P17" s="2" t="n">
        <f aca="false">1+O17</f>
        <v>1.00381798804422</v>
      </c>
    </row>
    <row r="18" customFormat="false" ht="15" hidden="false" customHeight="false" outlineLevel="0" collapsed="false">
      <c r="A18" s="6" t="n">
        <v>26420</v>
      </c>
      <c r="B18" s="1" t="n">
        <v>0.003</v>
      </c>
      <c r="C18" s="1" t="n">
        <v>0.0159</v>
      </c>
      <c r="D18" s="1" t="n">
        <v>-0.0186</v>
      </c>
      <c r="E18" s="1" t="n">
        <v>0.0276</v>
      </c>
      <c r="G18" s="1" t="n">
        <f aca="false">C18-$B18</f>
        <v>0.0129</v>
      </c>
      <c r="I18" s="1" t="n">
        <f aca="false">D18-E18</f>
        <v>-0.0462</v>
      </c>
      <c r="K18" s="1" t="n">
        <f aca="false">(1-Analysis!$C$21)*B18 + Analysis!$C$21*C18</f>
        <v>0.00580938763697643</v>
      </c>
      <c r="L18" s="2" t="n">
        <f aca="false">1+K18</f>
        <v>1.00580938763698</v>
      </c>
      <c r="N18" s="1" t="n">
        <f aca="false">Analysis!$C$35*G18+Analysis!$C$36*I18</f>
        <v>-0.0219828459400819</v>
      </c>
      <c r="O18" s="1" t="n">
        <f aca="false">B18+Analysis!$C$42*N18</f>
        <v>-0.00701663017028651</v>
      </c>
      <c r="P18" s="2" t="n">
        <f aca="false">1+O18</f>
        <v>0.992983369829714</v>
      </c>
    </row>
    <row r="19" customFormat="false" ht="15" hidden="false" customHeight="false" outlineLevel="0" collapsed="false">
      <c r="A19" s="6" t="n">
        <v>26451</v>
      </c>
      <c r="B19" s="1" t="n">
        <v>0.0029</v>
      </c>
      <c r="C19" s="1" t="n">
        <v>-0.0214</v>
      </c>
      <c r="D19" s="1" t="n">
        <v>-0.0552</v>
      </c>
      <c r="E19" s="1" t="n">
        <v>-0.0121</v>
      </c>
      <c r="G19" s="1" t="n">
        <f aca="false">C19-$B19</f>
        <v>-0.0243</v>
      </c>
      <c r="I19" s="1" t="n">
        <f aca="false">D19-E19</f>
        <v>-0.0431</v>
      </c>
      <c r="K19" s="1" t="n">
        <f aca="false">(1-Analysis!$C$21)*B19 + Analysis!$C$21*C19</f>
        <v>-0.00239210229290908</v>
      </c>
      <c r="L19" s="2" t="n">
        <f aca="false">1+K19</f>
        <v>0.997607897707091</v>
      </c>
      <c r="N19" s="1" t="n">
        <f aca="false">Analysis!$C$35*G19+Analysis!$C$36*I19</f>
        <v>-0.0353964044614812</v>
      </c>
      <c r="O19" s="1" t="n">
        <f aca="false">B19+Analysis!$C$42*N19</f>
        <v>-0.0132286074521439</v>
      </c>
      <c r="P19" s="2" t="n">
        <f aca="false">1+O19</f>
        <v>0.986771392547856</v>
      </c>
    </row>
    <row r="20" customFormat="false" ht="15" hidden="false" customHeight="false" outlineLevel="0" collapsed="false">
      <c r="A20" s="6" t="n">
        <v>26481</v>
      </c>
      <c r="B20" s="1" t="n">
        <v>0.0031</v>
      </c>
      <c r="C20" s="1" t="n">
        <v>-0.0049</v>
      </c>
      <c r="D20" s="1" t="n">
        <v>-0.0129</v>
      </c>
      <c r="E20" s="1" t="n">
        <v>0.0036</v>
      </c>
      <c r="G20" s="1" t="n">
        <f aca="false">C20-$B20</f>
        <v>-0.008</v>
      </c>
      <c r="I20" s="1" t="n">
        <f aca="false">D20-E20</f>
        <v>-0.0165</v>
      </c>
      <c r="K20" s="1" t="n">
        <f aca="false">(1-Analysis!$C$21)*B20 + Analysis!$C$21*C20</f>
        <v>0.00135774410109989</v>
      </c>
      <c r="L20" s="2" t="n">
        <f aca="false">1+K20</f>
        <v>1.0013577441011</v>
      </c>
      <c r="N20" s="1" t="n">
        <f aca="false">Analysis!$C$35*G20+Analysis!$C$36*I20</f>
        <v>-0.0130169913788612</v>
      </c>
      <c r="O20" s="1" t="n">
        <f aca="false">B20+Analysis!$C$42*N20</f>
        <v>-0.00283127882200745</v>
      </c>
      <c r="P20" s="2" t="n">
        <f aca="false">1+O20</f>
        <v>0.997168721177993</v>
      </c>
    </row>
    <row r="21" customFormat="false" ht="15" hidden="false" customHeight="false" outlineLevel="0" collapsed="false">
      <c r="A21" s="6" t="n">
        <v>26512</v>
      </c>
      <c r="B21" s="1" t="n">
        <v>0.0029</v>
      </c>
      <c r="C21" s="1" t="n">
        <v>0.0356</v>
      </c>
      <c r="D21" s="1" t="n">
        <v>0.0658</v>
      </c>
      <c r="E21" s="1" t="n">
        <v>0.0139</v>
      </c>
      <c r="G21" s="1" t="n">
        <f aca="false">C21-$B21</f>
        <v>0.0327</v>
      </c>
      <c r="I21" s="1" t="n">
        <f aca="false">D21-E21</f>
        <v>0.0519</v>
      </c>
      <c r="K21" s="1" t="n">
        <f aca="false">(1-Analysis!$C$21)*B21 + Analysis!$C$21*C21</f>
        <v>0.0100214709867542</v>
      </c>
      <c r="L21" s="2" t="n">
        <f aca="false">1+K21</f>
        <v>1.01002147098675</v>
      </c>
      <c r="N21" s="1" t="n">
        <f aca="false">Analysis!$C$35*G21+Analysis!$C$36*I21</f>
        <v>0.0440324981734276</v>
      </c>
      <c r="O21" s="1" t="n">
        <f aca="false">B21+Analysis!$C$42*N21</f>
        <v>0.0229637010730649</v>
      </c>
      <c r="P21" s="2" t="n">
        <f aca="false">1+O21</f>
        <v>1.02296370107306</v>
      </c>
    </row>
    <row r="22" customFormat="false" ht="15" hidden="false" customHeight="false" outlineLevel="0" collapsed="false">
      <c r="A22" s="6" t="n">
        <v>26543</v>
      </c>
      <c r="B22" s="1" t="n">
        <v>0.0034</v>
      </c>
      <c r="C22" s="1" t="n">
        <v>-0.008</v>
      </c>
      <c r="D22" s="1" t="n">
        <v>-0.0027</v>
      </c>
      <c r="E22" s="1" t="n">
        <v>-0.006</v>
      </c>
      <c r="G22" s="1" t="n">
        <f aca="false">C22-$B22</f>
        <v>-0.0114</v>
      </c>
      <c r="I22" s="1" t="n">
        <f aca="false">D22-E22</f>
        <v>0.0033</v>
      </c>
      <c r="K22" s="1" t="n">
        <f aca="false">(1-Analysis!$C$21)*B22 + Analysis!$C$21*C22</f>
        <v>0.000917285344067344</v>
      </c>
      <c r="L22" s="2" t="n">
        <f aca="false">1+K22</f>
        <v>1.00091728534407</v>
      </c>
      <c r="N22" s="1" t="n">
        <f aca="false">Analysis!$C$35*G22+Analysis!$C$36*I22</f>
        <v>-0.00272355608596947</v>
      </c>
      <c r="O22" s="1" t="n">
        <f aca="false">B22+Analysis!$C$42*N22</f>
        <v>0.00215899352906589</v>
      </c>
      <c r="P22" s="2" t="n">
        <f aca="false">1+O22</f>
        <v>1.00215899352907</v>
      </c>
    </row>
    <row r="23" customFormat="false" ht="15" hidden="false" customHeight="false" outlineLevel="0" collapsed="false">
      <c r="A23" s="6" t="n">
        <v>26573</v>
      </c>
      <c r="B23" s="1" t="n">
        <v>0.004</v>
      </c>
      <c r="C23" s="1" t="n">
        <v>0.0092</v>
      </c>
      <c r="D23" s="1" t="n">
        <v>0.0125</v>
      </c>
      <c r="E23" s="1" t="n">
        <v>0.004</v>
      </c>
      <c r="G23" s="1" t="n">
        <f aca="false">C23-$B23</f>
        <v>0.0052</v>
      </c>
      <c r="I23" s="1" t="n">
        <f aca="false">D23-E23</f>
        <v>0.0085</v>
      </c>
      <c r="K23" s="1" t="n">
        <f aca="false">(1-Analysis!$C$21)*B23 + Analysis!$C$21*C23</f>
        <v>0.00513246633428507</v>
      </c>
      <c r="L23" s="2" t="n">
        <f aca="false">1+K23</f>
        <v>1.00513246633429</v>
      </c>
      <c r="N23" s="1" t="n">
        <f aca="false">Analysis!$C$35*G23+Analysis!$C$36*I23</f>
        <v>0.00714777312355787</v>
      </c>
      <c r="O23" s="1" t="n">
        <f aca="false">B23+Analysis!$C$42*N23</f>
        <v>0.00725693043179859</v>
      </c>
      <c r="P23" s="2" t="n">
        <f aca="false">1+O23</f>
        <v>1.0072569304318</v>
      </c>
    </row>
    <row r="24" customFormat="false" ht="15" hidden="false" customHeight="false" outlineLevel="0" collapsed="false">
      <c r="A24" s="6" t="n">
        <v>26604</v>
      </c>
      <c r="B24" s="1" t="n">
        <v>0.0037</v>
      </c>
      <c r="C24" s="1" t="n">
        <v>0.0497</v>
      </c>
      <c r="D24" s="1" t="n">
        <v>0.0924</v>
      </c>
      <c r="E24" s="1" t="n">
        <v>0.0299</v>
      </c>
      <c r="G24" s="1" t="n">
        <f aca="false">C24-$B24</f>
        <v>0.046</v>
      </c>
      <c r="I24" s="1" t="n">
        <f aca="false">D24-E24</f>
        <v>0.0625</v>
      </c>
      <c r="K24" s="1" t="n">
        <f aca="false">(1-Analysis!$C$21)*B24 + Analysis!$C$21*C24</f>
        <v>0.0137179714186756</v>
      </c>
      <c r="L24" s="2" t="n">
        <f aca="false">1+K24</f>
        <v>1.01371797141868</v>
      </c>
      <c r="N24" s="1" t="n">
        <f aca="false">Analysis!$C$35*G24+Analysis!$C$36*I24</f>
        <v>0.0557388656177894</v>
      </c>
      <c r="O24" s="1" t="n">
        <f aca="false">B24+Analysis!$C$42*N24</f>
        <v>0.0290977853698507</v>
      </c>
      <c r="P24" s="2" t="n">
        <f aca="false">1+O24</f>
        <v>1.02909778536985</v>
      </c>
    </row>
    <row r="25" customFormat="false" ht="15" hidden="false" customHeight="false" outlineLevel="0" collapsed="false">
      <c r="A25" s="6" t="n">
        <v>26634</v>
      </c>
      <c r="B25" s="1" t="n">
        <v>0.0037</v>
      </c>
      <c r="C25" s="1" t="n">
        <v>0.0099</v>
      </c>
      <c r="D25" s="1" t="n">
        <v>-0.0081</v>
      </c>
      <c r="E25" s="1" t="n">
        <v>0.0251</v>
      </c>
      <c r="G25" s="1" t="n">
        <f aca="false">C25-$B25</f>
        <v>0.0062</v>
      </c>
      <c r="I25" s="1" t="n">
        <f aca="false">D25-E25</f>
        <v>-0.0332</v>
      </c>
      <c r="K25" s="1" t="n">
        <f aca="false">(1-Analysis!$C$21)*B25 + Analysis!$C$21*C25</f>
        <v>0.00505024832164759</v>
      </c>
      <c r="L25" s="2" t="n">
        <f aca="false">1+K25</f>
        <v>1.00505024832165</v>
      </c>
      <c r="N25" s="1" t="n">
        <f aca="false">Analysis!$C$35*G25+Analysis!$C$36*I25</f>
        <v>-0.0170552306267213</v>
      </c>
      <c r="O25" s="1" t="n">
        <f aca="false">B25+Analysis!$C$42*N25</f>
        <v>-0.00407132943216061</v>
      </c>
      <c r="P25" s="2" t="n">
        <f aca="false">1+O25</f>
        <v>0.995928670567839</v>
      </c>
    </row>
    <row r="26" customFormat="false" ht="15" hidden="false" customHeight="false" outlineLevel="0" collapsed="false">
      <c r="A26" s="6" t="n">
        <v>26665</v>
      </c>
      <c r="B26" s="1" t="n">
        <v>0.0044</v>
      </c>
      <c r="C26" s="1" t="n">
        <v>-0.0283</v>
      </c>
      <c r="D26" s="1" t="n">
        <v>-0.0177</v>
      </c>
      <c r="E26" s="1" t="n">
        <v>-0.0281</v>
      </c>
      <c r="G26" s="1" t="n">
        <f aca="false">C26-$B26</f>
        <v>-0.0327</v>
      </c>
      <c r="I26" s="1" t="n">
        <f aca="false">D26-E26</f>
        <v>0.0104</v>
      </c>
      <c r="K26" s="1" t="n">
        <f aca="false">(1-Analysis!$C$21)*B26 + Analysis!$C$21*C26</f>
        <v>-0.0027214709867542</v>
      </c>
      <c r="L26" s="2" t="n">
        <f aca="false">1+K26</f>
        <v>0.997278529013246</v>
      </c>
      <c r="N26" s="1" t="n">
        <f aca="false">Analysis!$C$35*G26+Analysis!$C$36*I26</f>
        <v>-0.00726090253777444</v>
      </c>
      <c r="O26" s="1" t="n">
        <f aca="false">B26+Analysis!$C$42*N26</f>
        <v>0.00109152139711032</v>
      </c>
      <c r="P26" s="2" t="n">
        <f aca="false">1+O26</f>
        <v>1.00109152139711</v>
      </c>
    </row>
    <row r="27" customFormat="false" ht="15" hidden="false" customHeight="false" outlineLevel="0" collapsed="false">
      <c r="A27" s="6" t="n">
        <v>26696</v>
      </c>
      <c r="B27" s="1" t="n">
        <v>0.0042</v>
      </c>
      <c r="C27" s="1" t="n">
        <v>-0.0443</v>
      </c>
      <c r="D27" s="1" t="n">
        <v>-0.0506</v>
      </c>
      <c r="E27" s="1" t="n">
        <v>-0.0331</v>
      </c>
      <c r="G27" s="1" t="n">
        <f aca="false">C27-$B27</f>
        <v>-0.0485</v>
      </c>
      <c r="I27" s="1" t="n">
        <f aca="false">D27-E27</f>
        <v>-0.0175</v>
      </c>
      <c r="K27" s="1" t="n">
        <f aca="false">(1-Analysis!$C$21)*B27 + Analysis!$C$21*C27</f>
        <v>-0.00636242638708191</v>
      </c>
      <c r="L27" s="2" t="n">
        <f aca="false">1+K27</f>
        <v>0.993637573612918</v>
      </c>
      <c r="N27" s="1" t="n">
        <f aca="false">Analysis!$C$35*G27+Analysis!$C$36*I27</f>
        <v>-0.0302027373241533</v>
      </c>
      <c r="O27" s="1" t="n">
        <f aca="false">B27+Analysis!$C$42*N27</f>
        <v>-0.00956207842837774</v>
      </c>
      <c r="P27" s="2" t="n">
        <f aca="false">1+O27</f>
        <v>0.990437921571622</v>
      </c>
    </row>
    <row r="28" customFormat="false" ht="15" hidden="false" customHeight="false" outlineLevel="0" collapsed="false">
      <c r="A28" s="6" t="n">
        <v>26724</v>
      </c>
      <c r="B28" s="1" t="n">
        <v>0.0046</v>
      </c>
      <c r="C28" s="1" t="n">
        <v>-0.0084</v>
      </c>
      <c r="D28" s="1" t="n">
        <v>0.0094</v>
      </c>
      <c r="E28" s="1" t="n">
        <v>-0.0132</v>
      </c>
      <c r="G28" s="1" t="n">
        <f aca="false">C28-$B28</f>
        <v>-0.013</v>
      </c>
      <c r="I28" s="1" t="n">
        <f aca="false">D28-E28</f>
        <v>0.0226</v>
      </c>
      <c r="K28" s="1" t="n">
        <f aca="false">(1-Analysis!$C$21)*B28 + Analysis!$C$21*C28</f>
        <v>0.00176883416428732</v>
      </c>
      <c r="L28" s="2" t="n">
        <f aca="false">1+K28</f>
        <v>1.00176883416429</v>
      </c>
      <c r="N28" s="1" t="n">
        <f aca="false">Analysis!$C$35*G28+Analysis!$C$36*I28</f>
        <v>0.00801234036323039</v>
      </c>
      <c r="O28" s="1" t="n">
        <f aca="false">B28+Analysis!$C$42*N28</f>
        <v>0.00825087625304255</v>
      </c>
      <c r="P28" s="2" t="n">
        <f aca="false">1+O28</f>
        <v>1.00825087625304</v>
      </c>
    </row>
    <row r="29" customFormat="false" ht="15" hidden="false" customHeight="false" outlineLevel="0" collapsed="false">
      <c r="A29" s="6" t="n">
        <v>26755</v>
      </c>
      <c r="B29" s="1" t="n">
        <v>0.0052</v>
      </c>
      <c r="C29" s="1" t="n">
        <v>-0.0516</v>
      </c>
      <c r="D29" s="1" t="n">
        <v>-0.0184</v>
      </c>
      <c r="E29" s="1" t="n">
        <v>-0.0622</v>
      </c>
      <c r="G29" s="1" t="n">
        <f aca="false">C29-$B29</f>
        <v>-0.0568</v>
      </c>
      <c r="I29" s="1" t="n">
        <f aca="false">D29-E29</f>
        <v>0.0438</v>
      </c>
      <c r="K29" s="1" t="n">
        <f aca="false">(1-Analysis!$C$21)*B29 + Analysis!$C$21*C29</f>
        <v>-0.00717001688219078</v>
      </c>
      <c r="L29" s="2" t="n">
        <f aca="false">1+K29</f>
        <v>0.992829983117809</v>
      </c>
      <c r="N29" s="1" t="n">
        <f aca="false">Analysis!$C$35*G29+Analysis!$C$36*I29</f>
        <v>0.00257756855452184</v>
      </c>
      <c r="O29" s="1" t="n">
        <f aca="false">B29+Analysis!$C$42*N29</f>
        <v>0.00637448627987378</v>
      </c>
      <c r="P29" s="2" t="n">
        <f aca="false">1+O29</f>
        <v>1.00637448627987</v>
      </c>
    </row>
    <row r="30" customFormat="false" ht="15" hidden="false" customHeight="false" outlineLevel="0" collapsed="false">
      <c r="A30" s="6" t="n">
        <v>26785</v>
      </c>
      <c r="B30" s="1" t="n">
        <v>0.0051</v>
      </c>
      <c r="C30" s="1" t="n">
        <v>-0.0246</v>
      </c>
      <c r="D30" s="1" t="n">
        <v>-0.0384</v>
      </c>
      <c r="E30" s="1" t="n">
        <v>-0.0118</v>
      </c>
      <c r="G30" s="1" t="n">
        <f aca="false">C30-$B30</f>
        <v>-0.0297</v>
      </c>
      <c r="I30" s="1" t="n">
        <f aca="false">D30-E30</f>
        <v>-0.0266</v>
      </c>
      <c r="K30" s="1" t="n">
        <f aca="false">(1-Analysis!$C$21)*B30 + Analysis!$C$21*C30</f>
        <v>-0.00136812502466666</v>
      </c>
      <c r="L30" s="2" t="n">
        <f aca="false">1+K30</f>
        <v>0.998631874975333</v>
      </c>
      <c r="N30" s="1" t="n">
        <f aca="false">Analysis!$C$35*G30+Analysis!$C$36*I30</f>
        <v>-0.0278702737324153</v>
      </c>
      <c r="O30" s="1" t="n">
        <f aca="false">B30+Analysis!$C$42*N30</f>
        <v>-0.00759927585732854</v>
      </c>
      <c r="P30" s="2" t="n">
        <f aca="false">1+O30</f>
        <v>0.992400724142671</v>
      </c>
    </row>
    <row r="31" customFormat="false" ht="15" hidden="false" customHeight="false" outlineLevel="0" collapsed="false">
      <c r="A31" s="6" t="n">
        <v>26816</v>
      </c>
      <c r="B31" s="1" t="n">
        <v>0.0051</v>
      </c>
      <c r="C31" s="1" t="n">
        <v>-0.0106</v>
      </c>
      <c r="D31" s="1" t="n">
        <v>-0.0109</v>
      </c>
      <c r="E31" s="1" t="n">
        <v>-0.0101</v>
      </c>
      <c r="G31" s="1" t="n">
        <f aca="false">C31-$B31</f>
        <v>-0.0157</v>
      </c>
      <c r="I31" s="1" t="n">
        <f aca="false">D31-E31</f>
        <v>-0.0008</v>
      </c>
      <c r="K31" s="1" t="n">
        <f aca="false">(1-Analysis!$C$21)*B31 + Analysis!$C$21*C31</f>
        <v>0.00168082279840854</v>
      </c>
      <c r="L31" s="2" t="n">
        <f aca="false">1+K31</f>
        <v>1.00168082279841</v>
      </c>
      <c r="N31" s="1" t="n">
        <f aca="false">Analysis!$C$35*G31+Analysis!$C$36*I31</f>
        <v>-0.00690550922999627</v>
      </c>
      <c r="O31" s="1" t="n">
        <f aca="false">B31+Analysis!$C$42*N31</f>
        <v>0.00195345872491181</v>
      </c>
      <c r="P31" s="2" t="n">
        <f aca="false">1+O31</f>
        <v>1.00195345872491</v>
      </c>
    </row>
    <row r="32" customFormat="false" ht="15" hidden="false" customHeight="false" outlineLevel="0" collapsed="false">
      <c r="A32" s="6" t="n">
        <v>26846</v>
      </c>
      <c r="B32" s="1" t="n">
        <v>0.0064</v>
      </c>
      <c r="C32" s="1" t="n">
        <v>0.0568</v>
      </c>
      <c r="D32" s="1" t="n">
        <v>0.0591</v>
      </c>
      <c r="E32" s="1" t="n">
        <v>0.0702</v>
      </c>
      <c r="G32" s="1" t="n">
        <f aca="false">C32-$B32</f>
        <v>0.0504</v>
      </c>
      <c r="I32" s="1" t="n">
        <f aca="false">D32-E32</f>
        <v>-0.0111</v>
      </c>
      <c r="K32" s="1" t="n">
        <f aca="false">(1-Analysis!$C$21)*B32 + Analysis!$C$21*C32</f>
        <v>0.0173762121630707</v>
      </c>
      <c r="L32" s="2" t="n">
        <f aca="false">1+K32</f>
        <v>1.01737621216307</v>
      </c>
      <c r="N32" s="1" t="n">
        <f aca="false">Analysis!$C$35*G32+Analysis!$C$36*I32</f>
        <v>0.0141005917882396</v>
      </c>
      <c r="O32" s="1" t="n">
        <f aca="false">B32+Analysis!$C$42*N32</f>
        <v>0.0128250285659077</v>
      </c>
      <c r="P32" s="2" t="n">
        <f aca="false">1+O32</f>
        <v>1.01282502856591</v>
      </c>
    </row>
    <row r="33" customFormat="false" ht="15" hidden="false" customHeight="false" outlineLevel="0" collapsed="false">
      <c r="A33" s="6" t="n">
        <v>26877</v>
      </c>
      <c r="B33" s="1" t="n">
        <v>0.007</v>
      </c>
      <c r="C33" s="1" t="n">
        <v>-0.0312</v>
      </c>
      <c r="D33" s="1" t="n">
        <v>-0.0164</v>
      </c>
      <c r="E33" s="1" t="n">
        <v>-0.0326</v>
      </c>
      <c r="G33" s="1" t="n">
        <f aca="false">C33-$B33</f>
        <v>-0.0382</v>
      </c>
      <c r="I33" s="1" t="n">
        <f aca="false">D33-E33</f>
        <v>0.0162</v>
      </c>
      <c r="K33" s="1" t="n">
        <f aca="false">(1-Analysis!$C$21)*B33 + Analysis!$C$21*C33</f>
        <v>-0.00131927191724802</v>
      </c>
      <c r="L33" s="2" t="n">
        <f aca="false">1+K33</f>
        <v>0.998680728082752</v>
      </c>
      <c r="N33" s="1" t="n">
        <f aca="false">Analysis!$C$35*G33+Analysis!$C$36*I33</f>
        <v>-0.00609125517528839</v>
      </c>
      <c r="O33" s="1" t="n">
        <f aca="false">B33+Analysis!$C$42*N33</f>
        <v>0.00422447900831351</v>
      </c>
      <c r="P33" s="2" t="n">
        <f aca="false">1+O33</f>
        <v>1.00422447900831</v>
      </c>
    </row>
    <row r="34" customFormat="false" ht="15" hidden="false" customHeight="false" outlineLevel="0" collapsed="false">
      <c r="A34" s="6" t="n">
        <v>26908</v>
      </c>
      <c r="B34" s="1" t="n">
        <v>0.0068</v>
      </c>
      <c r="C34" s="1" t="n">
        <v>0.0542</v>
      </c>
      <c r="D34" s="1" t="n">
        <v>0.0899</v>
      </c>
      <c r="E34" s="1" t="n">
        <v>0.0273</v>
      </c>
      <c r="G34" s="1" t="n">
        <f aca="false">C34-$B34</f>
        <v>0.0474</v>
      </c>
      <c r="I34" s="1" t="n">
        <f aca="false">D34-E34</f>
        <v>0.0626</v>
      </c>
      <c r="K34" s="1" t="n">
        <f aca="false">(1-Analysis!$C$21)*B34 + Analysis!$C$21*C34</f>
        <v>0.0171228662009831</v>
      </c>
      <c r="L34" s="2" t="n">
        <f aca="false">1+K34</f>
        <v>1.01712286620098</v>
      </c>
      <c r="N34" s="1" t="n">
        <f aca="false">Analysis!$C$35*G34+Analysis!$C$36*I34</f>
        <v>0.0563715610539635</v>
      </c>
      <c r="O34" s="1" t="n">
        <f aca="false">B34+Analysis!$C$42*N34</f>
        <v>0.0324860772594386</v>
      </c>
      <c r="P34" s="2" t="n">
        <f aca="false">1+O34</f>
        <v>1.03248607725944</v>
      </c>
    </row>
    <row r="35" customFormat="false" ht="15" hidden="false" customHeight="false" outlineLevel="0" collapsed="false">
      <c r="A35" s="6" t="n">
        <v>26938</v>
      </c>
      <c r="B35" s="1" t="n">
        <v>0.0065</v>
      </c>
      <c r="C35" s="1" t="n">
        <v>-0.0018</v>
      </c>
      <c r="D35" s="1" t="n">
        <v>0.0008</v>
      </c>
      <c r="E35" s="1" t="n">
        <v>-0.0029</v>
      </c>
      <c r="G35" s="1" t="n">
        <f aca="false">C35-$B35</f>
        <v>-0.0083</v>
      </c>
      <c r="I35" s="1" t="n">
        <f aca="false">D35-E35</f>
        <v>0.0037</v>
      </c>
      <c r="K35" s="1" t="n">
        <f aca="false">(1-Analysis!$C$21)*B35 + Analysis!$C$21*C35</f>
        <v>0.00469240950489114</v>
      </c>
      <c r="L35" s="2" t="n">
        <f aca="false">1+K35</f>
        <v>1.00469240950489</v>
      </c>
      <c r="N35" s="1" t="n">
        <f aca="false">Analysis!$C$35*G35+Analysis!$C$36*I35</f>
        <v>-0.00121718864160773</v>
      </c>
      <c r="O35" s="1" t="n">
        <f aca="false">B35+Analysis!$C$42*N35</f>
        <v>0.00594537988831429</v>
      </c>
      <c r="P35" s="2" t="n">
        <f aca="false">1+O35</f>
        <v>1.00594537988831</v>
      </c>
    </row>
    <row r="36" customFormat="false" ht="15" hidden="false" customHeight="false" outlineLevel="0" collapsed="false">
      <c r="A36" s="6" t="n">
        <v>26969</v>
      </c>
      <c r="B36" s="1" t="n">
        <v>0.0056</v>
      </c>
      <c r="C36" s="1" t="n">
        <v>-0.1222</v>
      </c>
      <c r="D36" s="1" t="n">
        <v>-0.1199</v>
      </c>
      <c r="E36" s="1" t="n">
        <v>-0.1309</v>
      </c>
      <c r="G36" s="1" t="n">
        <f aca="false">C36-$B36</f>
        <v>-0.1278</v>
      </c>
      <c r="I36" s="1" t="n">
        <f aca="false">D36-E36</f>
        <v>0.011</v>
      </c>
      <c r="K36" s="1" t="n">
        <f aca="false">(1-Analysis!$C$21)*B36 + Analysis!$C$21*C36</f>
        <v>-0.0222325379849292</v>
      </c>
      <c r="L36" s="2" t="n">
        <f aca="false">1+K36</f>
        <v>0.977767462015071</v>
      </c>
      <c r="N36" s="1" t="n">
        <f aca="false">Analysis!$C$35*G36+Analysis!$C$36*I36</f>
        <v>-0.0458754819545961</v>
      </c>
      <c r="O36" s="1" t="n">
        <f aca="false">B36+Analysis!$C$42*N36</f>
        <v>-0.0153034689082268</v>
      </c>
      <c r="P36" s="2" t="n">
        <f aca="false">1+O36</f>
        <v>0.984696531091773</v>
      </c>
    </row>
    <row r="37" customFormat="false" ht="15" hidden="false" customHeight="false" outlineLevel="0" collapsed="false">
      <c r="A37" s="6" t="n">
        <v>26999</v>
      </c>
      <c r="B37" s="1" t="n">
        <v>0.0064</v>
      </c>
      <c r="C37" s="1" t="n">
        <v>0.0123</v>
      </c>
      <c r="D37" s="1" t="n">
        <v>0.044</v>
      </c>
      <c r="E37" s="1" t="n">
        <v>-0.0126</v>
      </c>
      <c r="G37" s="1" t="n">
        <f aca="false">C37-$B37</f>
        <v>0.0059</v>
      </c>
      <c r="I37" s="1" t="n">
        <f aca="false">D37-E37</f>
        <v>0.0566</v>
      </c>
      <c r="K37" s="1" t="n">
        <f aca="false">(1-Analysis!$C$21)*B37 + Analysis!$C$21*C37</f>
        <v>0.00768491372543883</v>
      </c>
      <c r="L37" s="2" t="n">
        <f aca="false">1+K37</f>
        <v>1.00768491372544</v>
      </c>
      <c r="N37" s="1" t="n">
        <f aca="false">Analysis!$C$35*G37+Analysis!$C$36*I37</f>
        <v>0.0358248779892073</v>
      </c>
      <c r="O37" s="1" t="n">
        <f aca="false">B37+Analysis!$C$42*N37</f>
        <v>0.0227238442689186</v>
      </c>
      <c r="P37" s="2" t="n">
        <f aca="false">1+O37</f>
        <v>1.02272384426892</v>
      </c>
    </row>
    <row r="38" customFormat="false" ht="15" hidden="false" customHeight="false" outlineLevel="0" collapsed="false">
      <c r="A38" s="6" t="n">
        <v>27030</v>
      </c>
      <c r="B38" s="1" t="n">
        <v>0.0063</v>
      </c>
      <c r="C38" s="1" t="n">
        <v>0.0047</v>
      </c>
      <c r="D38" s="1" t="n">
        <v>0.0629</v>
      </c>
      <c r="E38" s="1" t="n">
        <v>-0.0061</v>
      </c>
      <c r="G38" s="1" t="n">
        <f aca="false">C38-$B38</f>
        <v>-0.0016</v>
      </c>
      <c r="I38" s="1" t="n">
        <f aca="false">D38-E38</f>
        <v>0.069</v>
      </c>
      <c r="K38" s="1" t="n">
        <f aca="false">(1-Analysis!$C$21)*B38 + Analysis!$C$21*C38</f>
        <v>0.00595154882021998</v>
      </c>
      <c r="L38" s="2" t="n">
        <f aca="false">1+K38</f>
        <v>1.00595154882022</v>
      </c>
      <c r="N38" s="1" t="n">
        <f aca="false">Analysis!$C$35*G38+Analysis!$C$36*I38</f>
        <v>0.0400705401585412</v>
      </c>
      <c r="O38" s="1" t="n">
        <f aca="false">B38+Analysis!$C$42*N38</f>
        <v>0.0245584085147906</v>
      </c>
      <c r="P38" s="2" t="n">
        <f aca="false">1+O38</f>
        <v>1.02455840851479</v>
      </c>
    </row>
    <row r="39" customFormat="false" ht="15" hidden="false" customHeight="false" outlineLevel="0" collapsed="false">
      <c r="A39" s="6" t="n">
        <v>27061</v>
      </c>
      <c r="B39" s="1" t="n">
        <v>0.0058</v>
      </c>
      <c r="C39" s="1" t="n">
        <v>0.0012</v>
      </c>
      <c r="D39" s="1" t="n">
        <v>0.0209</v>
      </c>
      <c r="E39" s="1" t="n">
        <v>-0.0098</v>
      </c>
      <c r="G39" s="1" t="n">
        <f aca="false">C39-$B39</f>
        <v>-0.0046</v>
      </c>
      <c r="I39" s="1" t="n">
        <f aca="false">D39-E39</f>
        <v>0.0307</v>
      </c>
      <c r="K39" s="1" t="n">
        <f aca="false">(1-Analysis!$C$21)*B39 + Analysis!$C$21*C39</f>
        <v>0.00479820285813244</v>
      </c>
      <c r="L39" s="2" t="n">
        <f aca="false">1+K39</f>
        <v>1.00479820285813</v>
      </c>
      <c r="N39" s="1" t="n">
        <f aca="false">Analysis!$C$35*G39+Analysis!$C$36*I39</f>
        <v>0.0162352700792706</v>
      </c>
      <c r="O39" s="1" t="n">
        <f aca="false">B39+Analysis!$C$42*N39</f>
        <v>0.0131977089473323</v>
      </c>
      <c r="P39" s="2" t="n">
        <f aca="false">1+O39</f>
        <v>1.01319770894733</v>
      </c>
    </row>
    <row r="40" customFormat="false" ht="15" hidden="false" customHeight="false" outlineLevel="0" collapsed="false">
      <c r="A40" s="6" t="n">
        <v>27089</v>
      </c>
      <c r="B40" s="1" t="n">
        <v>0.0056</v>
      </c>
      <c r="C40" s="1" t="n">
        <v>-0.0226</v>
      </c>
      <c r="D40" s="1" t="n">
        <v>-0.0217</v>
      </c>
      <c r="E40" s="1" t="n">
        <v>-0.0166</v>
      </c>
      <c r="G40" s="1" t="n">
        <f aca="false">C40-$B40</f>
        <v>-0.0282</v>
      </c>
      <c r="I40" s="1" t="n">
        <f aca="false">D40-E40</f>
        <v>-0.0051</v>
      </c>
      <c r="K40" s="1" t="n">
        <f aca="false">(1-Analysis!$C$21)*B40 + Analysis!$C$21*C40</f>
        <v>-0.000541452043622884</v>
      </c>
      <c r="L40" s="2" t="n">
        <f aca="false">1+K40</f>
        <v>0.999458547956377</v>
      </c>
      <c r="N40" s="1" t="n">
        <f aca="false">Analysis!$C$35*G40+Analysis!$C$36*I40</f>
        <v>-0.0145655881350949</v>
      </c>
      <c r="O40" s="1" t="n">
        <f aca="false">B40+Analysis!$C$42*N40</f>
        <v>-0.00103690724848045</v>
      </c>
      <c r="P40" s="2" t="n">
        <f aca="false">1+O40</f>
        <v>0.99896309275152</v>
      </c>
    </row>
    <row r="41" customFormat="false" ht="15" hidden="false" customHeight="false" outlineLevel="0" collapsed="false">
      <c r="A41" s="6" t="n">
        <v>27120</v>
      </c>
      <c r="B41" s="1" t="n">
        <v>0.0075</v>
      </c>
      <c r="C41" s="1" t="n">
        <v>-0.0453</v>
      </c>
      <c r="D41" s="1" t="n">
        <v>-0.0414</v>
      </c>
      <c r="E41" s="1" t="n">
        <v>-0.0355</v>
      </c>
      <c r="G41" s="1" t="n">
        <f aca="false">C41-$B41</f>
        <v>-0.0528</v>
      </c>
      <c r="I41" s="1" t="n">
        <f aca="false">D41-E41</f>
        <v>-0.0059</v>
      </c>
      <c r="K41" s="1" t="n">
        <f aca="false">(1-Analysis!$C$21)*B41 + Analysis!$C$21*C41</f>
        <v>-0.00399888893274072</v>
      </c>
      <c r="L41" s="2" t="n">
        <f aca="false">1+K41</f>
        <v>0.996001111067259</v>
      </c>
      <c r="N41" s="1" t="n">
        <f aca="false">Analysis!$C$35*G41+Analysis!$C$36*I41</f>
        <v>-0.0251180122742836</v>
      </c>
      <c r="O41" s="1" t="n">
        <f aca="false">B41+Analysis!$C$42*N41</f>
        <v>-0.00394518959237532</v>
      </c>
      <c r="P41" s="2" t="n">
        <f aca="false">1+O41</f>
        <v>0.996054810407625</v>
      </c>
    </row>
    <row r="42" customFormat="false" ht="15" hidden="false" customHeight="false" outlineLevel="0" collapsed="false">
      <c r="A42" s="6" t="n">
        <v>27150</v>
      </c>
      <c r="B42" s="1" t="n">
        <v>0.0075</v>
      </c>
      <c r="C42" s="1" t="n">
        <v>-0.0395</v>
      </c>
      <c r="D42" s="1" t="n">
        <v>-0.0635</v>
      </c>
      <c r="E42" s="1" t="n">
        <v>-0.0213</v>
      </c>
      <c r="G42" s="1" t="n">
        <f aca="false">C42-$B42</f>
        <v>-0.047</v>
      </c>
      <c r="I42" s="1" t="n">
        <f aca="false">D42-E42</f>
        <v>-0.0422</v>
      </c>
      <c r="K42" s="1" t="n">
        <f aca="false">(1-Analysis!$C$21)*B42 + Analysis!$C$21*C42</f>
        <v>-0.00273575340603814</v>
      </c>
      <c r="L42" s="2" t="n">
        <f aca="false">1+K42</f>
        <v>0.997264246593962</v>
      </c>
      <c r="N42" s="1" t="n">
        <f aca="false">Analysis!$C$35*G42+Analysis!$C$36*I42</f>
        <v>-0.0441668754566431</v>
      </c>
      <c r="O42" s="1" t="n">
        <f aca="false">B42+Analysis!$C$42*N42</f>
        <v>-0.0126249309771876</v>
      </c>
      <c r="P42" s="2" t="n">
        <f aca="false">1+O42</f>
        <v>0.987375069022812</v>
      </c>
    </row>
    <row r="43" customFormat="false" ht="15" hidden="false" customHeight="false" outlineLevel="0" collapsed="false">
      <c r="A43" s="6" t="n">
        <v>27181</v>
      </c>
      <c r="B43" s="1" t="n">
        <v>0.006</v>
      </c>
      <c r="C43" s="1" t="n">
        <v>-0.0224</v>
      </c>
      <c r="D43" s="1" t="n">
        <v>-0.0222</v>
      </c>
      <c r="E43" s="1" t="n">
        <v>-0.0218</v>
      </c>
      <c r="G43" s="1" t="n">
        <f aca="false">C43-$B43</f>
        <v>-0.0284</v>
      </c>
      <c r="I43" s="1" t="n">
        <f aca="false">D43-E43</f>
        <v>-0.000400000000000001</v>
      </c>
      <c r="K43" s="1" t="n">
        <f aca="false">(1-Analysis!$C$21)*B43 + Analysis!$C$21*C43</f>
        <v>-0.000185008441095387</v>
      </c>
      <c r="L43" s="2" t="n">
        <f aca="false">1+K43</f>
        <v>0.999814991558905</v>
      </c>
      <c r="N43" s="1" t="n">
        <f aca="false">Analysis!$C$35*G43+Analysis!$C$36*I43</f>
        <v>-0.0118734401637514</v>
      </c>
      <c r="O43" s="1" t="n">
        <f aca="false">B43+Analysis!$C$42*N43</f>
        <v>0.000589787905829245</v>
      </c>
      <c r="P43" s="2" t="n">
        <f aca="false">1+O43</f>
        <v>1.00058978790583</v>
      </c>
    </row>
    <row r="44" customFormat="false" ht="15" hidden="false" customHeight="false" outlineLevel="0" collapsed="false">
      <c r="A44" s="6" t="n">
        <v>27211</v>
      </c>
      <c r="B44" s="1" t="n">
        <v>0.007</v>
      </c>
      <c r="C44" s="1" t="n">
        <v>-0.0736</v>
      </c>
      <c r="D44" s="1" t="n">
        <v>-0.0288</v>
      </c>
      <c r="E44" s="1" t="n">
        <v>-0.0925</v>
      </c>
      <c r="G44" s="1" t="n">
        <f aca="false">C44-$B44</f>
        <v>-0.0806</v>
      </c>
      <c r="I44" s="1" t="n">
        <f aca="false">D44-E44</f>
        <v>0.0637</v>
      </c>
      <c r="K44" s="1" t="n">
        <f aca="false">(1-Analysis!$C$21)*B44 + Analysis!$C$21*C44</f>
        <v>-0.0105532281814186</v>
      </c>
      <c r="L44" s="2" t="n">
        <f aca="false">1+K44</f>
        <v>0.989446771818581</v>
      </c>
      <c r="N44" s="1" t="n">
        <f aca="false">Analysis!$C$35*G44+Analysis!$C$36*I44</f>
        <v>0.00457080658466702</v>
      </c>
      <c r="O44" s="1" t="n">
        <f aca="false">B44+Analysis!$C$42*N44</f>
        <v>0.00908271846435682</v>
      </c>
      <c r="P44" s="2" t="n">
        <f aca="false">1+O44</f>
        <v>1.00908271846436</v>
      </c>
    </row>
    <row r="45" customFormat="false" ht="15" hidden="false" customHeight="false" outlineLevel="0" collapsed="false">
      <c r="A45" s="6" t="n">
        <v>27242</v>
      </c>
      <c r="B45" s="1" t="n">
        <v>0.006</v>
      </c>
      <c r="C45" s="1" t="n">
        <v>-0.0879</v>
      </c>
      <c r="D45" s="1" t="n">
        <v>-0.0723</v>
      </c>
      <c r="E45" s="1" t="n">
        <v>-0.1008</v>
      </c>
      <c r="G45" s="1" t="n">
        <f aca="false">C45-$B45</f>
        <v>-0.0939</v>
      </c>
      <c r="I45" s="1" t="n">
        <f aca="false">D45-E45</f>
        <v>0.0285</v>
      </c>
      <c r="K45" s="1" t="n">
        <f aca="false">(1-Analysis!$C$21)*B45 + Analysis!$C$21*C45</f>
        <v>-0.01444972861334</v>
      </c>
      <c r="L45" s="2" t="n">
        <f aca="false">1+K45</f>
        <v>0.98555027138666</v>
      </c>
      <c r="N45" s="1" t="n">
        <f aca="false">Analysis!$C$35*G45+Analysis!$C$36*I45</f>
        <v>-0.0216553241443989</v>
      </c>
      <c r="O45" s="1" t="n">
        <f aca="false">B45+Analysis!$C$42*N45</f>
        <v>-0.00386739268261057</v>
      </c>
      <c r="P45" s="2" t="n">
        <f aca="false">1+O45</f>
        <v>0.996132607317389</v>
      </c>
    </row>
    <row r="46" customFormat="false" ht="15" hidden="false" customHeight="false" outlineLevel="0" collapsed="false">
      <c r="A46" s="6" t="n">
        <v>27273</v>
      </c>
      <c r="B46" s="1" t="n">
        <v>0.0081</v>
      </c>
      <c r="C46" s="1" t="n">
        <v>-0.1098</v>
      </c>
      <c r="D46" s="1" t="n">
        <v>-0.0726</v>
      </c>
      <c r="E46" s="1" t="n">
        <v>-0.1373</v>
      </c>
      <c r="G46" s="1" t="n">
        <f aca="false">C46-$B46</f>
        <v>-0.1179</v>
      </c>
      <c r="I46" s="1" t="n">
        <f aca="false">D46-E46</f>
        <v>0.0647</v>
      </c>
      <c r="K46" s="1" t="n">
        <f aca="false">(1-Analysis!$C$21)*B46 + Analysis!$C$21*C46</f>
        <v>-0.0175764963100404</v>
      </c>
      <c r="L46" s="2" t="n">
        <f aca="false">1+K46</f>
        <v>0.98242350368996</v>
      </c>
      <c r="N46" s="1" t="n">
        <f aca="false">Analysis!$C$35*G46+Analysis!$C$36*I46</f>
        <v>-0.0101232204964643</v>
      </c>
      <c r="O46" s="1" t="n">
        <f aca="false">B46+Analysis!$C$42*N46</f>
        <v>0.00348728715464175</v>
      </c>
      <c r="P46" s="2" t="n">
        <f aca="false">1+O46</f>
        <v>1.00348728715464</v>
      </c>
    </row>
    <row r="47" customFormat="false" ht="15" hidden="false" customHeight="false" outlineLevel="0" collapsed="false">
      <c r="A47" s="6" t="n">
        <v>27303</v>
      </c>
      <c r="B47" s="1" t="n">
        <v>0.0051</v>
      </c>
      <c r="C47" s="1" t="n">
        <v>0.1662</v>
      </c>
      <c r="D47" s="1" t="n">
        <v>0.0791</v>
      </c>
      <c r="E47" s="1" t="n">
        <v>0.2099</v>
      </c>
      <c r="G47" s="1" t="n">
        <f aca="false">C47-$B47</f>
        <v>0.1611</v>
      </c>
      <c r="I47" s="1" t="n">
        <f aca="false">D47-E47</f>
        <v>-0.1308</v>
      </c>
      <c r="K47" s="1" t="n">
        <f aca="false">(1-Analysis!$C$21)*B47 + Analysis!$C$21*C47</f>
        <v>0.0401846781641009</v>
      </c>
      <c r="L47" s="2" t="n">
        <f aca="false">1+K47</f>
        <v>1.0401846781641</v>
      </c>
      <c r="N47" s="1" t="n">
        <f aca="false">Analysis!$C$35*G47+Analysis!$C$36*I47</f>
        <v>-0.0111893862928919</v>
      </c>
      <c r="O47" s="1" t="n">
        <f aca="false">B47+Analysis!$C$42*N47</f>
        <v>1.48160825650355E-006</v>
      </c>
      <c r="P47" s="2" t="n">
        <f aca="false">1+O47</f>
        <v>1.00000148160826</v>
      </c>
    </row>
    <row r="48" customFormat="false" ht="15" hidden="false" customHeight="false" outlineLevel="0" collapsed="false">
      <c r="A48" s="6" t="n">
        <v>27334</v>
      </c>
      <c r="B48" s="1" t="n">
        <v>0.0054</v>
      </c>
      <c r="C48" s="1" t="n">
        <v>-0.0399</v>
      </c>
      <c r="D48" s="1" t="n">
        <v>-0.0443</v>
      </c>
      <c r="E48" s="1" t="n">
        <v>-0.0403</v>
      </c>
      <c r="G48" s="1" t="n">
        <f aca="false">C48-$B48</f>
        <v>-0.0453</v>
      </c>
      <c r="I48" s="1" t="n">
        <f aca="false">D48-E48</f>
        <v>-0.004</v>
      </c>
      <c r="K48" s="1" t="n">
        <f aca="false">(1-Analysis!$C$21)*B48 + Analysis!$C$21*C48</f>
        <v>-0.00446552402752187</v>
      </c>
      <c r="L48" s="2" t="n">
        <f aca="false">1+K48</f>
        <v>0.995534475972478</v>
      </c>
      <c r="N48" s="1" t="n">
        <f aca="false">Analysis!$C$35*G48+Analysis!$C$36*I48</f>
        <v>-0.0209233242415333</v>
      </c>
      <c r="O48" s="1" t="n">
        <f aca="false">B48+Analysis!$C$42*N48</f>
        <v>-0.00413385205135311</v>
      </c>
      <c r="P48" s="2" t="n">
        <f aca="false">1+O48</f>
        <v>0.995866147948647</v>
      </c>
    </row>
    <row r="49" customFormat="false" ht="15" hidden="false" customHeight="false" outlineLevel="0" collapsed="false">
      <c r="A49" s="6" t="n">
        <v>27364</v>
      </c>
      <c r="B49" s="1" t="n">
        <v>0.007</v>
      </c>
      <c r="C49" s="1" t="n">
        <v>-0.0274</v>
      </c>
      <c r="D49" s="1" t="n">
        <v>-0.0413</v>
      </c>
      <c r="E49" s="1" t="n">
        <v>-0.0342</v>
      </c>
      <c r="G49" s="1" t="n">
        <f aca="false">C49-$B49</f>
        <v>-0.0344</v>
      </c>
      <c r="I49" s="1" t="n">
        <f aca="false">D49-E49</f>
        <v>-0.0071</v>
      </c>
      <c r="K49" s="1" t="n">
        <f aca="false">(1-Analysis!$C$21)*B49 + Analysis!$C$21*C49</f>
        <v>-0.00049170036527047</v>
      </c>
      <c r="L49" s="2" t="n">
        <f aca="false">1+K49</f>
        <v>0.99950829963473</v>
      </c>
      <c r="N49" s="1" t="n">
        <f aca="false">Analysis!$C$35*G49+Analysis!$C$36*I49</f>
        <v>-0.0182866041596576</v>
      </c>
      <c r="O49" s="1" t="n">
        <f aca="false">B49+Analysis!$C$42*N49</f>
        <v>-0.00133241298405927</v>
      </c>
      <c r="P49" s="2" t="n">
        <f aca="false">1+O49</f>
        <v>0.998667587015941</v>
      </c>
    </row>
    <row r="50" customFormat="false" ht="15" hidden="false" customHeight="false" outlineLevel="0" collapsed="false">
      <c r="A50" s="6" t="n">
        <v>27395</v>
      </c>
      <c r="B50" s="1" t="n">
        <v>0.0058</v>
      </c>
      <c r="C50" s="1" t="n">
        <v>0.1425</v>
      </c>
      <c r="D50" s="1" t="n">
        <v>0.2399</v>
      </c>
      <c r="E50" s="1" t="n">
        <v>0.1113</v>
      </c>
      <c r="G50" s="1" t="n">
        <f aca="false">C50-$B50</f>
        <v>0.1367</v>
      </c>
      <c r="I50" s="1" t="n">
        <f aca="false">D50-E50</f>
        <v>0.1286</v>
      </c>
      <c r="K50" s="1" t="n">
        <f aca="false">(1-Analysis!$C$21)*B50 + Analysis!$C$21*C50</f>
        <v>0.0355707976724556</v>
      </c>
      <c r="L50" s="2" t="n">
        <f aca="false">1+K50</f>
        <v>1.03557079767246</v>
      </c>
      <c r="N50" s="1" t="n">
        <f aca="false">Analysis!$C$35*G50+Analysis!$C$36*I50</f>
        <v>0.131919102333085</v>
      </c>
      <c r="O50" s="1" t="n">
        <f aca="false">B50+Analysis!$C$42*N50</f>
        <v>0.0659098176309091</v>
      </c>
      <c r="P50" s="2" t="n">
        <f aca="false">1+O50</f>
        <v>1.06590981763091</v>
      </c>
    </row>
    <row r="51" customFormat="false" ht="15" hidden="false" customHeight="false" outlineLevel="0" collapsed="false">
      <c r="A51" s="6" t="n">
        <v>27426</v>
      </c>
      <c r="B51" s="1" t="n">
        <v>0.0043</v>
      </c>
      <c r="C51" s="1" t="n">
        <v>0.0599</v>
      </c>
      <c r="D51" s="1" t="n">
        <v>0.0261</v>
      </c>
      <c r="E51" s="1" t="n">
        <v>0.0812</v>
      </c>
      <c r="G51" s="1" t="n">
        <f aca="false">C51-$B51</f>
        <v>0.0556</v>
      </c>
      <c r="I51" s="1" t="n">
        <f aca="false">D51-E51</f>
        <v>-0.0551</v>
      </c>
      <c r="K51" s="1" t="n">
        <f aca="false">(1-Analysis!$C$21)*B51 + Analysis!$C$21*C51</f>
        <v>0.0164086784973558</v>
      </c>
      <c r="L51" s="2" t="n">
        <f aca="false">1+K51</f>
        <v>1.01640867849736</v>
      </c>
      <c r="N51" s="1" t="n">
        <f aca="false">Analysis!$C$35*G51+Analysis!$C$36*I51</f>
        <v>-0.00973893478116867</v>
      </c>
      <c r="O51" s="1" t="n">
        <f aca="false">B51+Analysis!$C$42*N51</f>
        <v>-0.000137610499632299</v>
      </c>
      <c r="P51" s="2" t="n">
        <f aca="false">1+O51</f>
        <v>0.999862389500368</v>
      </c>
    </row>
    <row r="52" customFormat="false" ht="15" hidden="false" customHeight="false" outlineLevel="0" collapsed="false">
      <c r="A52" s="6" t="n">
        <v>27454</v>
      </c>
      <c r="B52" s="1" t="n">
        <v>0.0041</v>
      </c>
      <c r="C52" s="1" t="n">
        <v>0.0307</v>
      </c>
      <c r="D52" s="1" t="n">
        <v>0.0753</v>
      </c>
      <c r="E52" s="1" t="n">
        <v>0.0313</v>
      </c>
      <c r="G52" s="1" t="n">
        <f aca="false">C52-$B52</f>
        <v>0.0266</v>
      </c>
      <c r="I52" s="1" t="n">
        <f aca="false">D52-E52</f>
        <v>0.044</v>
      </c>
      <c r="K52" s="1" t="n">
        <f aca="false">(1-Analysis!$C$21)*B52 + Analysis!$C$21*C52</f>
        <v>0.00989300086384286</v>
      </c>
      <c r="L52" s="2" t="n">
        <f aca="false">1+K52</f>
        <v>1.00989300086384</v>
      </c>
      <c r="N52" s="1" t="n">
        <f aca="false">Analysis!$C$35*G52+Analysis!$C$36*I52</f>
        <v>0.0368700764696688</v>
      </c>
      <c r="O52" s="1" t="n">
        <f aca="false">B52+Analysis!$C$42*N52</f>
        <v>0.0209000959181302</v>
      </c>
      <c r="P52" s="2" t="n">
        <f aca="false">1+O52</f>
        <v>1.02090009591813</v>
      </c>
    </row>
    <row r="53" customFormat="false" ht="15" hidden="false" customHeight="false" outlineLevel="0" collapsed="false">
      <c r="A53" s="6" t="n">
        <v>27485</v>
      </c>
      <c r="B53" s="1" t="n">
        <v>0.0044</v>
      </c>
      <c r="C53" s="1" t="n">
        <v>0.0466</v>
      </c>
      <c r="D53" s="1" t="n">
        <v>0.0569</v>
      </c>
      <c r="E53" s="1" t="n">
        <v>0.0579</v>
      </c>
      <c r="G53" s="1" t="n">
        <f aca="false">C53-$B53</f>
        <v>0.0422</v>
      </c>
      <c r="I53" s="1" t="n">
        <f aca="false">D53-E53</f>
        <v>-0.000999999999999987</v>
      </c>
      <c r="K53" s="1" t="n">
        <f aca="false">(1-Analysis!$C$21)*B53 + Analysis!$C$21*C53</f>
        <v>0.0135903998666981</v>
      </c>
      <c r="L53" s="2" t="n">
        <f aca="false">1+K53</f>
        <v>1.0135903998667</v>
      </c>
      <c r="N53" s="1" t="n">
        <f aca="false">Analysis!$C$35*G53+Analysis!$C$36*I53</f>
        <v>0.0167018791097878</v>
      </c>
      <c r="O53" s="1" t="n">
        <f aca="false">B53+Analysis!$C$42*N53</f>
        <v>0.012010322459957</v>
      </c>
      <c r="P53" s="2" t="n">
        <f aca="false">1+O53</f>
        <v>1.01201032245996</v>
      </c>
    </row>
    <row r="54" customFormat="false" ht="15" hidden="false" customHeight="false" outlineLevel="0" collapsed="false">
      <c r="A54" s="6" t="n">
        <v>27515</v>
      </c>
      <c r="B54" s="1" t="n">
        <v>0.0044</v>
      </c>
      <c r="C54" s="1" t="n">
        <v>0.0564</v>
      </c>
      <c r="D54" s="1" t="n">
        <v>0.0276</v>
      </c>
      <c r="E54" s="1" t="n">
        <v>0.0585</v>
      </c>
      <c r="G54" s="1" t="n">
        <f aca="false">C54-$B54</f>
        <v>0.052</v>
      </c>
      <c r="I54" s="1" t="n">
        <f aca="false">D54-E54</f>
        <v>-0.0309</v>
      </c>
      <c r="K54" s="1" t="n">
        <f aca="false">(1-Analysis!$C$21)*B54 + Analysis!$C$21*C54</f>
        <v>0.0157246633428507</v>
      </c>
      <c r="L54" s="2" t="n">
        <f aca="false">1+K54</f>
        <v>1.01572466334285</v>
      </c>
      <c r="N54" s="1" t="n">
        <f aca="false">Analysis!$C$35*G54+Analysis!$C$36*I54</f>
        <v>0.00306957819910675</v>
      </c>
      <c r="O54" s="1" t="n">
        <f aca="false">B54+Analysis!$C$42*N54</f>
        <v>0.00579867375148024</v>
      </c>
      <c r="P54" s="2" t="n">
        <f aca="false">1+O54</f>
        <v>1.00579867375148</v>
      </c>
    </row>
    <row r="55" customFormat="false" ht="15" hidden="false" customHeight="false" outlineLevel="0" collapsed="false">
      <c r="A55" s="6" t="n">
        <v>27546</v>
      </c>
      <c r="B55" s="1" t="n">
        <v>0.0041</v>
      </c>
      <c r="C55" s="1" t="n">
        <v>0.0528</v>
      </c>
      <c r="D55" s="1" t="n">
        <v>0.0722</v>
      </c>
      <c r="E55" s="1" t="n">
        <v>0.0442</v>
      </c>
      <c r="G55" s="1" t="n">
        <f aca="false">C55-$B55</f>
        <v>0.0487</v>
      </c>
      <c r="I55" s="1" t="n">
        <f aca="false">D55-E55</f>
        <v>0.028</v>
      </c>
      <c r="K55" s="1" t="n">
        <f aca="false">(1-Analysis!$C$21)*B55 + Analysis!$C$21*C55</f>
        <v>0.0147059827845544</v>
      </c>
      <c r="L55" s="2" t="n">
        <f aca="false">1+K55</f>
        <v>1.01470598278455</v>
      </c>
      <c r="N55" s="1" t="n">
        <f aca="false">Analysis!$C$35*G55+Analysis!$C$36*I55</f>
        <v>0.0364821504067733</v>
      </c>
      <c r="O55" s="1" t="n">
        <f aca="false">B55+Analysis!$C$42*N55</f>
        <v>0.0207233348237737</v>
      </c>
      <c r="P55" s="2" t="n">
        <f aca="false">1+O55</f>
        <v>1.02072333482377</v>
      </c>
    </row>
    <row r="56" customFormat="false" ht="15" hidden="false" customHeight="false" outlineLevel="0" collapsed="false">
      <c r="A56" s="6" t="n">
        <v>27576</v>
      </c>
      <c r="B56" s="1" t="n">
        <v>0.0048</v>
      </c>
      <c r="C56" s="1" t="n">
        <v>-0.0612</v>
      </c>
      <c r="D56" s="1" t="n">
        <v>-0.0367</v>
      </c>
      <c r="E56" s="1" t="n">
        <v>-0.0732</v>
      </c>
      <c r="G56" s="1" t="n">
        <f aca="false">C56-$B56</f>
        <v>-0.066</v>
      </c>
      <c r="I56" s="1" t="n">
        <f aca="false">D56-E56</f>
        <v>0.0365</v>
      </c>
      <c r="K56" s="1" t="n">
        <f aca="false">(1-Analysis!$C$21)*B56 + Analysis!$C$21*C56</f>
        <v>-0.0095736111659259</v>
      </c>
      <c r="L56" s="2" t="n">
        <f aca="false">1+K56</f>
        <v>0.990426388834074</v>
      </c>
      <c r="N56" s="1" t="n">
        <f aca="false">Analysis!$C$35*G56+Analysis!$C$36*I56</f>
        <v>-0.00550098631373272</v>
      </c>
      <c r="O56" s="1" t="n">
        <f aca="false">B56+Analysis!$C$42*N56</f>
        <v>0.00229343894659242</v>
      </c>
      <c r="P56" s="2" t="n">
        <f aca="false">1+O56</f>
        <v>1.00229343894659</v>
      </c>
    </row>
    <row r="57" customFormat="false" ht="15" hidden="false" customHeight="false" outlineLevel="0" collapsed="false">
      <c r="A57" s="6" t="n">
        <v>27607</v>
      </c>
      <c r="B57" s="1" t="n">
        <v>0.0048</v>
      </c>
      <c r="C57" s="1" t="n">
        <v>-0.0236</v>
      </c>
      <c r="D57" s="1" t="n">
        <v>-0.0401</v>
      </c>
      <c r="E57" s="1" t="n">
        <v>-0.0228</v>
      </c>
      <c r="G57" s="1" t="n">
        <f aca="false">C57-$B57</f>
        <v>-0.0284</v>
      </c>
      <c r="I57" s="1" t="n">
        <f aca="false">D57-E57</f>
        <v>-0.0173</v>
      </c>
      <c r="K57" s="1" t="n">
        <f aca="false">(1-Analysis!$C$21)*B57 + Analysis!$C$21*C57</f>
        <v>-0.00138500844109539</v>
      </c>
      <c r="L57" s="2" t="n">
        <f aca="false">1+K57</f>
        <v>0.998614991558905</v>
      </c>
      <c r="N57" s="1" t="n">
        <f aca="false">Analysis!$C$35*G57+Analysis!$C$36*I57</f>
        <v>-0.0218483994934872</v>
      </c>
      <c r="O57" s="1" t="n">
        <f aca="false">B57+Analysis!$C$42*N57</f>
        <v>-0.00515536875140928</v>
      </c>
      <c r="P57" s="2" t="n">
        <f aca="false">1+O57</f>
        <v>0.994844631248591</v>
      </c>
    </row>
    <row r="58" customFormat="false" ht="15" hidden="false" customHeight="false" outlineLevel="0" collapsed="false">
      <c r="A58" s="6" t="n">
        <v>27638</v>
      </c>
      <c r="B58" s="1" t="n">
        <v>0.0053</v>
      </c>
      <c r="C58" s="1" t="n">
        <v>-0.0373</v>
      </c>
      <c r="D58" s="1" t="n">
        <v>-0.0369</v>
      </c>
      <c r="E58" s="1" t="n">
        <v>-0.0399</v>
      </c>
      <c r="G58" s="1" t="n">
        <f aca="false">C58-$B58</f>
        <v>-0.0426</v>
      </c>
      <c r="I58" s="1" t="n">
        <f aca="false">D58-E58</f>
        <v>0.003</v>
      </c>
      <c r="K58" s="1" t="n">
        <f aca="false">(1-Analysis!$C$21)*B58 + Analysis!$C$21*C58</f>
        <v>-0.00397751266164308</v>
      </c>
      <c r="L58" s="2" t="n">
        <f aca="false">1+K58</f>
        <v>0.996022487338357</v>
      </c>
      <c r="N58" s="1" t="n">
        <f aca="false">Analysis!$C$35*G58+Analysis!$C$36*I58</f>
        <v>-0.0156853168381094</v>
      </c>
      <c r="O58" s="1" t="n">
        <f aca="false">B58+Analysis!$C$42*N58</f>
        <v>-0.00184711909001006</v>
      </c>
      <c r="P58" s="2" t="n">
        <f aca="false">1+O58</f>
        <v>0.99815288090999</v>
      </c>
    </row>
    <row r="59" customFormat="false" ht="15" hidden="false" customHeight="false" outlineLevel="0" collapsed="false">
      <c r="A59" s="6" t="n">
        <v>27668</v>
      </c>
      <c r="B59" s="1" t="n">
        <v>0.0056</v>
      </c>
      <c r="C59" s="1" t="n">
        <v>0.0588</v>
      </c>
      <c r="D59" s="1" t="n">
        <v>0.0457</v>
      </c>
      <c r="E59" s="1" t="n">
        <v>0.0633</v>
      </c>
      <c r="G59" s="1" t="n">
        <f aca="false">C59-$B59</f>
        <v>0.0532</v>
      </c>
      <c r="I59" s="1" t="n">
        <f aca="false">D59-E59</f>
        <v>-0.0176</v>
      </c>
      <c r="K59" s="1" t="n">
        <f aca="false">(1-Analysis!$C$21)*B59 + Analysis!$C$21*C59</f>
        <v>0.0171860017276857</v>
      </c>
      <c r="L59" s="2" t="n">
        <f aca="false">1+K59</f>
        <v>1.01718600172769</v>
      </c>
      <c r="N59" s="1" t="n">
        <f aca="false">Analysis!$C$35*G59+Analysis!$C$36*I59</f>
        <v>0.0114114129854856</v>
      </c>
      <c r="O59" s="1" t="n">
        <f aca="false">B59+Analysis!$C$42*N59</f>
        <v>0.0107996863330421</v>
      </c>
      <c r="P59" s="2" t="n">
        <f aca="false">1+O59</f>
        <v>1.01079968633304</v>
      </c>
    </row>
    <row r="60" customFormat="false" ht="15" hidden="false" customHeight="false" outlineLevel="0" collapsed="false">
      <c r="A60" s="6" t="n">
        <v>27699</v>
      </c>
      <c r="B60" s="1" t="n">
        <v>0.0041</v>
      </c>
      <c r="C60" s="1" t="n">
        <v>0.0306</v>
      </c>
      <c r="D60" s="1" t="n">
        <v>0.0421</v>
      </c>
      <c r="E60" s="1" t="n">
        <v>0.0294</v>
      </c>
      <c r="G60" s="1" t="n">
        <f aca="false">C60-$B60</f>
        <v>0.0265</v>
      </c>
      <c r="I60" s="1" t="n">
        <f aca="false">D60-E60</f>
        <v>0.0127</v>
      </c>
      <c r="K60" s="1" t="n">
        <f aca="false">(1-Analysis!$C$21)*B60 + Analysis!$C$21*C60</f>
        <v>0.00987122266510661</v>
      </c>
      <c r="L60" s="2" t="n">
        <f aca="false">1+K60</f>
        <v>1.00987122266511</v>
      </c>
      <c r="N60" s="1" t="n">
        <f aca="false">Analysis!$C$35*G60+Analysis!$C$36*I60</f>
        <v>0.0183547669378489</v>
      </c>
      <c r="O60" s="1" t="n">
        <f aca="false">B60+Analysis!$C$42*N60</f>
        <v>0.0124634718079432</v>
      </c>
      <c r="P60" s="2" t="n">
        <f aca="false">1+O60</f>
        <v>1.01246347180794</v>
      </c>
    </row>
    <row r="61" customFormat="false" ht="15" hidden="false" customHeight="false" outlineLevel="0" collapsed="false">
      <c r="A61" s="6" t="n">
        <v>27729</v>
      </c>
      <c r="B61" s="1" t="n">
        <v>0.0048</v>
      </c>
      <c r="C61" s="1" t="n">
        <v>-0.0112</v>
      </c>
      <c r="D61" s="1" t="n">
        <v>0.0021</v>
      </c>
      <c r="E61" s="1" t="n">
        <v>-0.0178</v>
      </c>
      <c r="G61" s="1" t="n">
        <f aca="false">C61-$B61</f>
        <v>-0.016</v>
      </c>
      <c r="I61" s="1" t="n">
        <f aca="false">D61-E61</f>
        <v>0.0199</v>
      </c>
      <c r="K61" s="1" t="n">
        <f aca="false">(1-Analysis!$C$21)*B61 + Analysis!$C$21*C61</f>
        <v>0.00131548820219978</v>
      </c>
      <c r="L61" s="2" t="n">
        <f aca="false">1+K61</f>
        <v>1.0013154882022</v>
      </c>
      <c r="N61" s="1" t="n">
        <f aca="false">Analysis!$C$35*G61+Analysis!$C$36*I61</f>
        <v>0.0051894106471902</v>
      </c>
      <c r="O61" s="1" t="n">
        <f aca="false">B61+Analysis!$C$42*N61</f>
        <v>0.00716458952568439</v>
      </c>
      <c r="P61" s="2" t="n">
        <f aca="false">1+O61</f>
        <v>1.00716458952568</v>
      </c>
    </row>
    <row r="62" customFormat="false" ht="15" hidden="false" customHeight="false" outlineLevel="0" collapsed="false">
      <c r="A62" s="6" t="n">
        <v>27760</v>
      </c>
      <c r="B62" s="1" t="n">
        <v>0.0047</v>
      </c>
      <c r="C62" s="1" t="n">
        <v>0.1262</v>
      </c>
      <c r="D62" s="1" t="n">
        <v>0.2092</v>
      </c>
      <c r="E62" s="1" t="n">
        <v>0.1104</v>
      </c>
      <c r="G62" s="1" t="n">
        <f aca="false">C62-$B62</f>
        <v>0.1215</v>
      </c>
      <c r="I62" s="1" t="n">
        <f aca="false">D62-E62</f>
        <v>0.0988</v>
      </c>
      <c r="K62" s="1" t="n">
        <f aca="false">(1-Analysis!$C$21)*B62 + Analysis!$C$21*C62</f>
        <v>0.0311605114645454</v>
      </c>
      <c r="L62" s="2" t="n">
        <f aca="false">1+K62</f>
        <v>1.03116051146455</v>
      </c>
      <c r="N62" s="1" t="n">
        <f aca="false">Analysis!$C$35*G62+Analysis!$C$36*I62</f>
        <v>0.108101681847041</v>
      </c>
      <c r="O62" s="1" t="n">
        <f aca="false">B62+Analysis!$C$42*N62</f>
        <v>0.0539572513494926</v>
      </c>
      <c r="P62" s="2" t="n">
        <f aca="false">1+O62</f>
        <v>1.05395725134949</v>
      </c>
    </row>
    <row r="63" customFormat="false" ht="15" hidden="false" customHeight="false" outlineLevel="0" collapsed="false">
      <c r="A63" s="6" t="n">
        <v>27791</v>
      </c>
      <c r="B63" s="1" t="n">
        <v>0.0034</v>
      </c>
      <c r="C63" s="1" t="n">
        <v>0.0065</v>
      </c>
      <c r="D63" s="1" t="n">
        <v>0.078</v>
      </c>
      <c r="E63" s="1" t="n">
        <v>-0.0102</v>
      </c>
      <c r="G63" s="1" t="n">
        <f aca="false">C63-$B63</f>
        <v>0.0031</v>
      </c>
      <c r="I63" s="1" t="n">
        <f aca="false">D63-E63</f>
        <v>0.0882</v>
      </c>
      <c r="K63" s="1" t="n">
        <f aca="false">(1-Analysis!$C$21)*B63 + Analysis!$C$21*C63</f>
        <v>0.00407512416082379</v>
      </c>
      <c r="L63" s="2" t="n">
        <f aca="false">1+K63</f>
        <v>1.00407512416082</v>
      </c>
      <c r="N63" s="1" t="n">
        <f aca="false">Analysis!$C$35*G63+Analysis!$C$36*I63</f>
        <v>0.0533289372165985</v>
      </c>
      <c r="O63" s="1" t="n">
        <f aca="false">B63+Analysis!$C$42*N63</f>
        <v>0.0276996854424166</v>
      </c>
      <c r="P63" s="2" t="n">
        <f aca="false">1+O63</f>
        <v>1.02769968544242</v>
      </c>
    </row>
    <row r="64" customFormat="false" ht="15" hidden="false" customHeight="false" outlineLevel="0" collapsed="false">
      <c r="A64" s="6" t="n">
        <v>27820</v>
      </c>
      <c r="B64" s="1" t="n">
        <v>0.004</v>
      </c>
      <c r="C64" s="1" t="n">
        <v>0.0272</v>
      </c>
      <c r="D64" s="1" t="n">
        <v>0.0206</v>
      </c>
      <c r="E64" s="1" t="n">
        <v>0.0291</v>
      </c>
      <c r="G64" s="1" t="n">
        <f aca="false">C64-$B64</f>
        <v>0.0232</v>
      </c>
      <c r="I64" s="1" t="n">
        <f aca="false">D64-E64</f>
        <v>-0.0085</v>
      </c>
      <c r="K64" s="1" t="n">
        <f aca="false">(1-Analysis!$C$21)*B64 + Analysis!$C$21*C64</f>
        <v>0.00905254210681032</v>
      </c>
      <c r="L64" s="2" t="n">
        <f aca="false">1+K64</f>
        <v>1.00905254210681</v>
      </c>
      <c r="N64" s="1" t="n">
        <f aca="false">Analysis!$C$35*G64+Analysis!$C$36*I64</f>
        <v>0.00448957332824709</v>
      </c>
      <c r="O64" s="1" t="n">
        <f aca="false">B64+Analysis!$C$42*N64</f>
        <v>0.00604570399001149</v>
      </c>
      <c r="P64" s="2" t="n">
        <f aca="false">1+O64</f>
        <v>1.00604570399001</v>
      </c>
    </row>
    <row r="65" customFormat="false" ht="15" hidden="false" customHeight="false" outlineLevel="0" collapsed="false">
      <c r="A65" s="6" t="n">
        <v>27851</v>
      </c>
      <c r="B65" s="1" t="n">
        <v>0.0042</v>
      </c>
      <c r="C65" s="1" t="n">
        <v>-0.0107</v>
      </c>
      <c r="D65" s="1" t="n">
        <v>-0.0148</v>
      </c>
      <c r="E65" s="1" t="n">
        <v>-0.016</v>
      </c>
      <c r="G65" s="1" t="n">
        <f aca="false">C65-$B65</f>
        <v>-0.0149</v>
      </c>
      <c r="I65" s="1" t="n">
        <f aca="false">D65-E65</f>
        <v>0.0012</v>
      </c>
      <c r="K65" s="1" t="n">
        <f aca="false">(1-Analysis!$C$21)*B65 + Analysis!$C$21*C65</f>
        <v>0.000955048388298547</v>
      </c>
      <c r="L65" s="2" t="n">
        <f aca="false">1+K65</f>
        <v>1.0009550483883</v>
      </c>
      <c r="N65" s="1" t="n">
        <f aca="false">Analysis!$C$35*G65+Analysis!$C$36*I65</f>
        <v>-0.00539722809415704</v>
      </c>
      <c r="O65" s="1" t="n">
        <f aca="false">B65+Analysis!$C$42*N65</f>
        <v>0.00174071707042815</v>
      </c>
      <c r="P65" s="2" t="n">
        <f aca="false">1+O65</f>
        <v>1.00174071707043</v>
      </c>
    </row>
    <row r="66" customFormat="false" ht="15" hidden="false" customHeight="false" outlineLevel="0" collapsed="false">
      <c r="A66" s="6" t="n">
        <v>27881</v>
      </c>
      <c r="B66" s="1" t="n">
        <v>0.0037</v>
      </c>
      <c r="C66" s="1" t="n">
        <v>-0.0097</v>
      </c>
      <c r="D66" s="1" t="n">
        <v>-0.0181</v>
      </c>
      <c r="E66" s="1" t="n">
        <v>-0.0064</v>
      </c>
      <c r="G66" s="1" t="n">
        <f aca="false">C66-$B66</f>
        <v>-0.0134</v>
      </c>
      <c r="I66" s="1" t="n">
        <f aca="false">D66-E66</f>
        <v>-0.0117</v>
      </c>
      <c r="K66" s="1" t="n">
        <f aca="false">(1-Analysis!$C$21)*B66 + Analysis!$C$21*C66</f>
        <v>0.000781721369342318</v>
      </c>
      <c r="L66" s="2" t="n">
        <f aca="false">1+K66</f>
        <v>1.00078172136934</v>
      </c>
      <c r="N66" s="1" t="n">
        <f aca="false">Analysis!$C$35*G66+Analysis!$C$36*I66</f>
        <v>-0.0123966017242278</v>
      </c>
      <c r="O66" s="1" t="n">
        <f aca="false">B66+Analysis!$C$42*N66</f>
        <v>-0.00194859414374183</v>
      </c>
      <c r="P66" s="2" t="n">
        <f aca="false">1+O66</f>
        <v>0.998051405856258</v>
      </c>
    </row>
    <row r="67" customFormat="false" ht="15" hidden="false" customHeight="false" outlineLevel="0" collapsed="false">
      <c r="A67" s="6" t="n">
        <v>27912</v>
      </c>
      <c r="B67" s="1" t="n">
        <v>0.0043</v>
      </c>
      <c r="C67" s="1" t="n">
        <v>0.0449</v>
      </c>
      <c r="D67" s="1" t="n">
        <v>0.0502</v>
      </c>
      <c r="E67" s="1" t="n">
        <v>0.0435</v>
      </c>
      <c r="G67" s="1" t="n">
        <f aca="false">C67-$B67</f>
        <v>0.0406</v>
      </c>
      <c r="I67" s="1" t="n">
        <f aca="false">D67-E67</f>
        <v>0.00669999999999999</v>
      </c>
      <c r="K67" s="1" t="n">
        <f aca="false">(1-Analysis!$C$21)*B67 + Analysis!$C$21*C67</f>
        <v>0.0131419486869181</v>
      </c>
      <c r="L67" s="2" t="n">
        <f aca="false">1+K67</f>
        <v>1.01314194868692</v>
      </c>
      <c r="N67" s="1" t="n">
        <f aca="false">Analysis!$C$35*G67+Analysis!$C$36*I67</f>
        <v>0.0205910579125418</v>
      </c>
      <c r="O67" s="1" t="n">
        <f aca="false">B67+Analysis!$C$42*N67</f>
        <v>0.013682452685474</v>
      </c>
      <c r="P67" s="2" t="n">
        <f aca="false">1+O67</f>
        <v>1.01368245268547</v>
      </c>
    </row>
    <row r="68" customFormat="false" ht="15" hidden="false" customHeight="false" outlineLevel="0" collapsed="false">
      <c r="A68" s="6" t="n">
        <v>27942</v>
      </c>
      <c r="B68" s="1" t="n">
        <v>0.0047</v>
      </c>
      <c r="C68" s="1" t="n">
        <v>-0.0059</v>
      </c>
      <c r="D68" s="1" t="n">
        <v>0.0051</v>
      </c>
      <c r="E68" s="1" t="n">
        <v>-0.0123</v>
      </c>
      <c r="G68" s="1" t="n">
        <f aca="false">C68-$B68</f>
        <v>-0.0106</v>
      </c>
      <c r="I68" s="1" t="n">
        <f aca="false">D68-E68</f>
        <v>0.0174</v>
      </c>
      <c r="K68" s="1" t="n">
        <f aca="false">(1-Analysis!$C$21)*B68 + Analysis!$C$21*C68</f>
        <v>0.00239151093395736</v>
      </c>
      <c r="L68" s="2" t="n">
        <f aca="false">1+K68</f>
        <v>1.00239151093396</v>
      </c>
      <c r="N68" s="1" t="n">
        <f aca="false">Analysis!$C$35*G68+Analysis!$C$36*I68</f>
        <v>0.00592655983624862</v>
      </c>
      <c r="O68" s="1" t="n">
        <f aca="false">B68+Analysis!$C$42*N68</f>
        <v>0.00740047646349265</v>
      </c>
      <c r="P68" s="2" t="n">
        <f aca="false">1+O68</f>
        <v>1.00740047646349</v>
      </c>
    </row>
    <row r="69" customFormat="false" ht="15" hidden="false" customHeight="false" outlineLevel="0" collapsed="false">
      <c r="A69" s="6" t="n">
        <v>27973</v>
      </c>
      <c r="B69" s="1" t="n">
        <v>0.0042</v>
      </c>
      <c r="C69" s="1" t="n">
        <v>-0.0015</v>
      </c>
      <c r="D69" s="1" t="n">
        <v>-0.011</v>
      </c>
      <c r="E69" s="1" t="n">
        <v>-0.0052</v>
      </c>
      <c r="G69" s="1" t="n">
        <f aca="false">C69-$B69</f>
        <v>-0.0057</v>
      </c>
      <c r="I69" s="1" t="n">
        <f aca="false">D69-E69</f>
        <v>-0.0058</v>
      </c>
      <c r="K69" s="1" t="n">
        <f aca="false">(1-Analysis!$C$21)*B69 + Analysis!$C$21*C69</f>
        <v>0.00295864267203367</v>
      </c>
      <c r="L69" s="2" t="n">
        <f aca="false">1+K69</f>
        <v>1.00295864267203</v>
      </c>
      <c r="N69" s="1" t="n">
        <f aca="false">Analysis!$C$35*G69+Analysis!$C$36*I69</f>
        <v>-0.0057590234279866</v>
      </c>
      <c r="O69" s="1" t="n">
        <f aca="false">B69+Analysis!$C$42*N69</f>
        <v>0.00157586261681537</v>
      </c>
      <c r="P69" s="2" t="n">
        <f aca="false">1+O69</f>
        <v>1.00157586261682</v>
      </c>
    </row>
    <row r="70" customFormat="false" ht="15" hidden="false" customHeight="false" outlineLevel="0" collapsed="false">
      <c r="A70" s="6" t="n">
        <v>28004</v>
      </c>
      <c r="B70" s="1" t="n">
        <v>0.0044</v>
      </c>
      <c r="C70" s="1" t="n">
        <v>0.025</v>
      </c>
      <c r="D70" s="1" t="n">
        <v>0.0269</v>
      </c>
      <c r="E70" s="1" t="n">
        <v>0.0226</v>
      </c>
      <c r="G70" s="1" t="n">
        <f aca="false">C70-$B70</f>
        <v>0.0206</v>
      </c>
      <c r="I70" s="1" t="n">
        <f aca="false">D70-E70</f>
        <v>0.0043</v>
      </c>
      <c r="K70" s="1" t="n">
        <f aca="false">(1-Analysis!$C$21)*B70 + Analysis!$C$21*C70</f>
        <v>0.00888630893966778</v>
      </c>
      <c r="L70" s="2" t="n">
        <f aca="false">1+K70</f>
        <v>1.00888630893967</v>
      </c>
      <c r="N70" s="1" t="n">
        <f aca="false">Analysis!$C$35*G70+Analysis!$C$36*I70</f>
        <v>0.0109791812381838</v>
      </c>
      <c r="O70" s="1" t="n">
        <f aca="false">B70+Analysis!$C$42*N70</f>
        <v>0.00940273705848598</v>
      </c>
      <c r="P70" s="2" t="n">
        <f aca="false">1+O70</f>
        <v>1.00940273705849</v>
      </c>
    </row>
    <row r="71" customFormat="false" ht="15" hidden="false" customHeight="false" outlineLevel="0" collapsed="false">
      <c r="A71" s="6" t="n">
        <v>28034</v>
      </c>
      <c r="B71" s="1" t="n">
        <v>0.0041</v>
      </c>
      <c r="C71" s="1" t="n">
        <v>-0.0201</v>
      </c>
      <c r="D71" s="1" t="n">
        <v>-0.0292</v>
      </c>
      <c r="E71" s="1" t="n">
        <v>-0.0238</v>
      </c>
      <c r="G71" s="1" t="n">
        <f aca="false">C71-$B71</f>
        <v>-0.0242</v>
      </c>
      <c r="I71" s="1" t="n">
        <f aca="false">D71-E71</f>
        <v>-0.0054</v>
      </c>
      <c r="K71" s="1" t="n">
        <f aca="false">(1-Analysis!$C$21)*B71 + Analysis!$C$21*C71</f>
        <v>-0.00117032409417283</v>
      </c>
      <c r="L71" s="2" t="n">
        <f aca="false">1+K71</f>
        <v>0.998829675905827</v>
      </c>
      <c r="N71" s="1" t="n">
        <f aca="false">Analysis!$C$35*G71+Analysis!$C$36*I71</f>
        <v>-0.0131035955385188</v>
      </c>
      <c r="O71" s="1" t="n">
        <f aca="false">B71+Analysis!$C$42*N71</f>
        <v>-0.00187074058418615</v>
      </c>
      <c r="P71" s="2" t="n">
        <f aca="false">1+O71</f>
        <v>0.998129259415814</v>
      </c>
    </row>
    <row r="72" customFormat="false" ht="15" hidden="false" customHeight="false" outlineLevel="0" collapsed="false">
      <c r="A72" s="6" t="n">
        <v>28065</v>
      </c>
      <c r="B72" s="1" t="n">
        <v>0.004</v>
      </c>
      <c r="C72" s="1" t="n">
        <v>0.0076</v>
      </c>
      <c r="D72" s="1" t="n">
        <v>0.0272</v>
      </c>
      <c r="E72" s="1" t="n">
        <v>-0.0053</v>
      </c>
      <c r="G72" s="1" t="n">
        <f aca="false">C72-$B72</f>
        <v>0.0036</v>
      </c>
      <c r="I72" s="1" t="n">
        <f aca="false">D72-E72</f>
        <v>0.0325</v>
      </c>
      <c r="K72" s="1" t="n">
        <f aca="false">(1-Analysis!$C$21)*B72 + Analysis!$C$21*C72</f>
        <v>0.00478401515450505</v>
      </c>
      <c r="L72" s="2" t="n">
        <f aca="false">1+K72</f>
        <v>1.00478401515451</v>
      </c>
      <c r="N72" s="1" t="n">
        <f aca="false">Analysis!$C$35*G72+Analysis!$C$36*I72</f>
        <v>0.020657770688128</v>
      </c>
      <c r="O72" s="1" t="n">
        <f aca="false">B72+Analysis!$C$42*N72</f>
        <v>0.0134128508060132</v>
      </c>
      <c r="P72" s="2" t="n">
        <f aca="false">1+O72</f>
        <v>1.01341285080601</v>
      </c>
    </row>
    <row r="73" customFormat="false" ht="15" hidden="false" customHeight="false" outlineLevel="0" collapsed="false">
      <c r="A73" s="6" t="n">
        <v>28095</v>
      </c>
      <c r="B73" s="1" t="n">
        <v>0.004</v>
      </c>
      <c r="C73" s="1" t="n">
        <v>0.0605</v>
      </c>
      <c r="D73" s="1" t="n">
        <v>0.0916</v>
      </c>
      <c r="E73" s="1" t="n">
        <v>0.0496</v>
      </c>
      <c r="G73" s="1" t="n">
        <f aca="false">C73-$B73</f>
        <v>0.0565</v>
      </c>
      <c r="I73" s="1" t="n">
        <f aca="false">D73-E73</f>
        <v>0.042</v>
      </c>
      <c r="K73" s="1" t="n">
        <f aca="false">(1-Analysis!$C$21)*B73 + Analysis!$C$21*C73</f>
        <v>0.016304682285982</v>
      </c>
      <c r="L73" s="2" t="n">
        <f aca="false">1+K73</f>
        <v>1.01630468228598</v>
      </c>
      <c r="N73" s="1" t="n">
        <f aca="false">Analysis!$C$35*G73+Analysis!$C$36*I73</f>
        <v>0.0479416029419427</v>
      </c>
      <c r="O73" s="1" t="n">
        <f aca="false">B73+Analysis!$C$42*N73</f>
        <v>0.0258449106975987</v>
      </c>
      <c r="P73" s="2" t="n">
        <f aca="false">1+O73</f>
        <v>1.0258449106976</v>
      </c>
    </row>
    <row r="74" customFormat="false" ht="15" hidden="false" customHeight="false" outlineLevel="0" collapsed="false">
      <c r="A74" s="6" t="n">
        <v>28126</v>
      </c>
      <c r="B74" s="1" t="n">
        <v>0.0036</v>
      </c>
      <c r="C74" s="1" t="n">
        <v>-0.0367</v>
      </c>
      <c r="D74" s="1" t="n">
        <v>0.0111</v>
      </c>
      <c r="E74" s="1" t="n">
        <v>-0.0605</v>
      </c>
      <c r="G74" s="1" t="n">
        <f aca="false">C74-$B74</f>
        <v>-0.0403</v>
      </c>
      <c r="I74" s="1" t="n">
        <f aca="false">D74-E74</f>
        <v>0.0716</v>
      </c>
      <c r="K74" s="1" t="n">
        <f aca="false">(1-Analysis!$C$21)*B74 + Analysis!$C$21*C74</f>
        <v>-0.0051766140907093</v>
      </c>
      <c r="L74" s="2" t="n">
        <f aca="false">1+K74</f>
        <v>0.994823385909291</v>
      </c>
      <c r="N74" s="1" t="n">
        <f aca="false">Analysis!$C$35*G74+Analysis!$C$36*I74</f>
        <v>0.0257472159170079</v>
      </c>
      <c r="O74" s="1" t="n">
        <f aca="false">B74+Analysis!$C$42*N74</f>
        <v>0.0153318904230205</v>
      </c>
      <c r="P74" s="2" t="n">
        <f aca="false">1+O74</f>
        <v>1.01533189042302</v>
      </c>
    </row>
    <row r="75" customFormat="false" ht="15" hidden="false" customHeight="false" outlineLevel="0" collapsed="false">
      <c r="A75" s="6" t="n">
        <v>28157</v>
      </c>
      <c r="B75" s="1" t="n">
        <v>0.0035</v>
      </c>
      <c r="C75" s="1" t="n">
        <v>-0.0159</v>
      </c>
      <c r="D75" s="1" t="n">
        <v>-0.012</v>
      </c>
      <c r="E75" s="1" t="n">
        <v>-0.0177</v>
      </c>
      <c r="G75" s="1" t="n">
        <f aca="false">C75-$B75</f>
        <v>-0.0194</v>
      </c>
      <c r="I75" s="1" t="n">
        <f aca="false">D75-E75</f>
        <v>0.0057</v>
      </c>
      <c r="K75" s="1" t="n">
        <f aca="false">(1-Analysis!$C$21)*B75 + Analysis!$C$21*C75</f>
        <v>-0.000724970554832765</v>
      </c>
      <c r="L75" s="2" t="n">
        <f aca="false">1+K75</f>
        <v>0.999275029445167</v>
      </c>
      <c r="N75" s="1" t="n">
        <f aca="false">Analysis!$C$35*G75+Analysis!$C$36*I75</f>
        <v>-0.00458511957536284</v>
      </c>
      <c r="O75" s="1" t="n">
        <f aca="false">B75+Analysis!$C$42*N75</f>
        <v>0.00141075972610034</v>
      </c>
      <c r="P75" s="2" t="n">
        <f aca="false">1+O75</f>
        <v>1.0014107597261</v>
      </c>
    </row>
    <row r="76" customFormat="false" ht="15" hidden="false" customHeight="false" outlineLevel="0" collapsed="false">
      <c r="A76" s="6" t="n">
        <v>28185</v>
      </c>
      <c r="B76" s="1" t="n">
        <v>0.0038</v>
      </c>
      <c r="C76" s="1" t="n">
        <v>-0.0097</v>
      </c>
      <c r="D76" s="1" t="n">
        <v>0.004</v>
      </c>
      <c r="E76" s="1" t="n">
        <v>-0.0161</v>
      </c>
      <c r="G76" s="1" t="n">
        <f aca="false">C76-$B76</f>
        <v>-0.0135</v>
      </c>
      <c r="I76" s="1" t="n">
        <f aca="false">D76-E76</f>
        <v>0.0201</v>
      </c>
      <c r="K76" s="1" t="n">
        <f aca="false">(1-Analysis!$C$21)*B76 + Analysis!$C$21*C76</f>
        <v>0.000859943170606066</v>
      </c>
      <c r="L76" s="2" t="n">
        <f aca="false">1+K76</f>
        <v>1.00085994317061</v>
      </c>
      <c r="N76" s="1" t="n">
        <f aca="false">Analysis!$C$35*G76+Analysis!$C$36*I76</f>
        <v>0.00633187180349835</v>
      </c>
      <c r="O76" s="1" t="n">
        <f aca="false">B76+Analysis!$C$42*N76</f>
        <v>0.00668515956096773</v>
      </c>
      <c r="P76" s="2" t="n">
        <f aca="false">1+O76</f>
        <v>1.00668515956097</v>
      </c>
    </row>
    <row r="77" customFormat="false" ht="15" hidden="false" customHeight="false" outlineLevel="0" collapsed="false">
      <c r="A77" s="6" t="n">
        <v>28216</v>
      </c>
      <c r="B77" s="1" t="n">
        <v>0.0038</v>
      </c>
      <c r="C77" s="1" t="n">
        <v>0.0053</v>
      </c>
      <c r="D77" s="1" t="n">
        <v>0.036</v>
      </c>
      <c r="E77" s="1" t="n">
        <v>-0.0101</v>
      </c>
      <c r="G77" s="1" t="n">
        <f aca="false">C77-$B77</f>
        <v>0.0015</v>
      </c>
      <c r="I77" s="1" t="n">
        <f aca="false">D77-E77</f>
        <v>0.0461</v>
      </c>
      <c r="K77" s="1" t="n">
        <f aca="false">(1-Analysis!$C$21)*B77 + Analysis!$C$21*C77</f>
        <v>0.00412667298104377</v>
      </c>
      <c r="L77" s="2" t="n">
        <f aca="false">1+K77</f>
        <v>1.00412667298104</v>
      </c>
      <c r="N77" s="1" t="n">
        <f aca="false">Analysis!$C$35*G77+Analysis!$C$36*I77</f>
        <v>0.0278244488820246</v>
      </c>
      <c r="O77" s="1" t="n">
        <f aca="false">B77+Analysis!$C$42*N77</f>
        <v>0.0164783954590296</v>
      </c>
      <c r="P77" s="2" t="n">
        <f aca="false">1+O77</f>
        <v>1.01647839545903</v>
      </c>
    </row>
    <row r="78" customFormat="false" ht="15" hidden="false" customHeight="false" outlineLevel="0" collapsed="false">
      <c r="A78" s="6" t="n">
        <v>28246</v>
      </c>
      <c r="B78" s="1" t="n">
        <v>0.0037</v>
      </c>
      <c r="C78" s="1" t="n">
        <v>-0.011</v>
      </c>
      <c r="D78" s="1" t="n">
        <v>-0.0081</v>
      </c>
      <c r="E78" s="1" t="n">
        <v>-0.0188</v>
      </c>
      <c r="G78" s="1" t="n">
        <f aca="false">C78-$B78</f>
        <v>-0.0147</v>
      </c>
      <c r="I78" s="1" t="n">
        <f aca="false">D78-E78</f>
        <v>0.0107</v>
      </c>
      <c r="K78" s="1" t="n">
        <f aca="false">(1-Analysis!$C$21)*B78 + Analysis!$C$21*C78</f>
        <v>0.00049860478577105</v>
      </c>
      <c r="L78" s="2" t="n">
        <f aca="false">1+K78</f>
        <v>1.00049860478577</v>
      </c>
      <c r="N78" s="1" t="n">
        <f aca="false">Analysis!$C$35*G78+Analysis!$C$36*I78</f>
        <v>0.000291950708596966</v>
      </c>
      <c r="O78" s="1" t="n">
        <f aca="false">B78+Analysis!$C$42*N78</f>
        <v>0.00383302928492242</v>
      </c>
      <c r="P78" s="2" t="n">
        <f aca="false">1+O78</f>
        <v>1.00383302928492</v>
      </c>
    </row>
    <row r="79" customFormat="false" ht="15" hidden="false" customHeight="false" outlineLevel="0" collapsed="false">
      <c r="A79" s="6" t="n">
        <v>28277</v>
      </c>
      <c r="B79" s="1" t="n">
        <v>0.004</v>
      </c>
      <c r="C79" s="1" t="n">
        <v>0.0512</v>
      </c>
      <c r="D79" s="1" t="n">
        <v>0.057</v>
      </c>
      <c r="E79" s="1" t="n">
        <v>0.0576</v>
      </c>
      <c r="G79" s="1" t="n">
        <f aca="false">C79-$B79</f>
        <v>0.0472</v>
      </c>
      <c r="I79" s="1" t="n">
        <f aca="false">D79-E79</f>
        <v>-0.000599999999999996</v>
      </c>
      <c r="K79" s="1" t="n">
        <f aca="false">(1-Analysis!$C$21)*B79 + Analysis!$C$21*C79</f>
        <v>0.0142793098035106</v>
      </c>
      <c r="L79" s="2" t="n">
        <f aca="false">1+K79</f>
        <v>1.01427930980351</v>
      </c>
      <c r="N79" s="1" t="n">
        <f aca="false">Analysis!$C$35*G79+Analysis!$C$36*I79</f>
        <v>0.0189868014224041</v>
      </c>
      <c r="O79" s="1" t="n">
        <f aca="false">B79+Analysis!$C$42*N79</f>
        <v>0.0126514625305236</v>
      </c>
      <c r="P79" s="2" t="n">
        <f aca="false">1+O79</f>
        <v>1.01265146253052</v>
      </c>
    </row>
    <row r="80" customFormat="false" ht="15" hidden="false" customHeight="false" outlineLevel="0" collapsed="false">
      <c r="A80" s="6" t="n">
        <v>28307</v>
      </c>
      <c r="B80" s="1" t="n">
        <v>0.0042</v>
      </c>
      <c r="C80" s="1" t="n">
        <v>-0.0127</v>
      </c>
      <c r="D80" s="1" t="n">
        <v>-0.02</v>
      </c>
      <c r="E80" s="1" t="n">
        <v>-0.0145</v>
      </c>
      <c r="G80" s="1" t="n">
        <f aca="false">C80-$B80</f>
        <v>-0.0169</v>
      </c>
      <c r="I80" s="1" t="n">
        <f aca="false">D80-E80</f>
        <v>-0.0055</v>
      </c>
      <c r="K80" s="1" t="n">
        <f aca="false">(1-Analysis!$C$21)*B80 + Analysis!$C$21*C80</f>
        <v>0.000519484413573519</v>
      </c>
      <c r="L80" s="2" t="n">
        <f aca="false">1+K80</f>
        <v>1.00051948441357</v>
      </c>
      <c r="N80" s="1" t="n">
        <f aca="false">Analysis!$C$35*G80+Analysis!$C$36*I80</f>
        <v>-0.0101713292095273</v>
      </c>
      <c r="O80" s="1" t="n">
        <f aca="false">B80+Analysis!$C$42*N80</f>
        <v>-0.000434633900895564</v>
      </c>
      <c r="P80" s="2" t="n">
        <f aca="false">1+O80</f>
        <v>0.999565366099104</v>
      </c>
    </row>
    <row r="81" customFormat="false" ht="15" hidden="false" customHeight="false" outlineLevel="0" collapsed="false">
      <c r="A81" s="6" t="n">
        <v>28338</v>
      </c>
      <c r="B81" s="1" t="n">
        <v>0.0044</v>
      </c>
      <c r="C81" s="1" t="n">
        <v>-0.0132</v>
      </c>
      <c r="D81" s="1" t="n">
        <v>-0.0248</v>
      </c>
      <c r="E81" s="1" t="n">
        <v>0.0028</v>
      </c>
      <c r="G81" s="1" t="n">
        <f aca="false">C81-$B81</f>
        <v>-0.0176</v>
      </c>
      <c r="I81" s="1" t="n">
        <f aca="false">D81-E81</f>
        <v>-0.0276</v>
      </c>
      <c r="K81" s="1" t="n">
        <f aca="false">(1-Analysis!$C$21)*B81 + Analysis!$C$21*C81</f>
        <v>0.00056703702241976</v>
      </c>
      <c r="L81" s="2" t="n">
        <f aca="false">1+K81</f>
        <v>1.00056703702242</v>
      </c>
      <c r="N81" s="1" t="n">
        <f aca="false">Analysis!$C$35*G81+Analysis!$C$36*I81</f>
        <v>-0.0235023427986602</v>
      </c>
      <c r="O81" s="1" t="n">
        <f aca="false">B81+Analysis!$C$42*N81</f>
        <v>-0.00630899903457171</v>
      </c>
      <c r="P81" s="2" t="n">
        <f aca="false">1+O81</f>
        <v>0.993691000965428</v>
      </c>
    </row>
    <row r="82" customFormat="false" ht="15" hidden="false" customHeight="false" outlineLevel="0" collapsed="false">
      <c r="A82" s="6" t="n">
        <v>28369</v>
      </c>
      <c r="B82" s="1" t="n">
        <v>0.0043</v>
      </c>
      <c r="C82" s="1" t="n">
        <v>0.0016</v>
      </c>
      <c r="D82" s="1" t="n">
        <v>-0.0016</v>
      </c>
      <c r="E82" s="1" t="n">
        <v>-0.0057</v>
      </c>
      <c r="G82" s="1" t="n">
        <f aca="false">C82-$B82</f>
        <v>-0.0027</v>
      </c>
      <c r="I82" s="1" t="n">
        <f aca="false">D82-E82</f>
        <v>0.0041</v>
      </c>
      <c r="K82" s="1" t="n">
        <f aca="false">(1-Analysis!$C$21)*B82 + Analysis!$C$21*C82</f>
        <v>0.00371198863412121</v>
      </c>
      <c r="L82" s="2" t="n">
        <f aca="false">1+K82</f>
        <v>1.00371198863412</v>
      </c>
      <c r="N82" s="1" t="n">
        <f aca="false">Analysis!$C$35*G82+Analysis!$C$36*I82</f>
        <v>0.00131359310308895</v>
      </c>
      <c r="O82" s="1" t="n">
        <f aca="false">B82+Analysis!$C$42*N82</f>
        <v>0.00489854744666568</v>
      </c>
      <c r="P82" s="2" t="n">
        <f aca="false">1+O82</f>
        <v>1.00489854744667</v>
      </c>
    </row>
    <row r="83" customFormat="false" ht="15" hidden="false" customHeight="false" outlineLevel="0" collapsed="false">
      <c r="A83" s="6" t="n">
        <v>28399</v>
      </c>
      <c r="B83" s="1" t="n">
        <v>0.0049</v>
      </c>
      <c r="C83" s="1" t="n">
        <v>-0.039</v>
      </c>
      <c r="D83" s="1" t="n">
        <v>-0.0275</v>
      </c>
      <c r="E83" s="1" t="n">
        <v>-0.044</v>
      </c>
      <c r="G83" s="1" t="n">
        <f aca="false">C83-$B83</f>
        <v>-0.0439</v>
      </c>
      <c r="I83" s="1" t="n">
        <f aca="false">D83-E83</f>
        <v>0.0165</v>
      </c>
      <c r="K83" s="1" t="n">
        <f aca="false">(1-Analysis!$C$21)*B83 + Analysis!$C$21*C83</f>
        <v>-0.00466062924521435</v>
      </c>
      <c r="L83" s="2" t="n">
        <f aca="false">1+K83</f>
        <v>0.995339370754786</v>
      </c>
      <c r="N83" s="1" t="n">
        <f aca="false">Analysis!$C$35*G83+Analysis!$C$36*I83</f>
        <v>-0.00824984949609226</v>
      </c>
      <c r="O83" s="1" t="n">
        <f aca="false">B83+Analysis!$C$42*N83</f>
        <v>0.00114090112862917</v>
      </c>
      <c r="P83" s="2" t="n">
        <f aca="false">1+O83</f>
        <v>1.00114090112863</v>
      </c>
    </row>
    <row r="84" customFormat="false" ht="15" hidden="false" customHeight="false" outlineLevel="0" collapsed="false">
      <c r="A84" s="6" t="n">
        <v>28430</v>
      </c>
      <c r="B84" s="1" t="n">
        <v>0.005</v>
      </c>
      <c r="C84" s="1" t="n">
        <v>0.045</v>
      </c>
      <c r="D84" s="1" t="n">
        <v>0.0589</v>
      </c>
      <c r="E84" s="1" t="n">
        <v>0.0435</v>
      </c>
      <c r="G84" s="1" t="n">
        <f aca="false">C84-$B84</f>
        <v>0.04</v>
      </c>
      <c r="I84" s="1" t="n">
        <f aca="false">D84-E84</f>
        <v>0.0154</v>
      </c>
      <c r="K84" s="1" t="n">
        <f aca="false">(1-Analysis!$C$21)*B84 + Analysis!$C$21*C84</f>
        <v>0.0137112794945005</v>
      </c>
      <c r="L84" s="2" t="n">
        <f aca="false">1+K84</f>
        <v>1.0137112794945</v>
      </c>
      <c r="N84" s="1" t="n">
        <f aca="false">Analysis!$C$35*G84+Analysis!$C$36*I84</f>
        <v>0.0254802367152958</v>
      </c>
      <c r="O84" s="1" t="n">
        <f aca="false">B84+Analysis!$C$42*N84</f>
        <v>0.016610239571534</v>
      </c>
      <c r="P84" s="2" t="n">
        <f aca="false">1+O84</f>
        <v>1.01661023957153</v>
      </c>
    </row>
    <row r="85" customFormat="false" ht="15" hidden="false" customHeight="false" outlineLevel="0" collapsed="false">
      <c r="A85" s="6" t="n">
        <v>28460</v>
      </c>
      <c r="B85" s="1" t="n">
        <v>0.0049</v>
      </c>
      <c r="C85" s="1" t="n">
        <v>0.0076</v>
      </c>
      <c r="D85" s="1" t="n">
        <v>0.0132</v>
      </c>
      <c r="E85" s="1" t="n">
        <v>0.0038</v>
      </c>
      <c r="G85" s="1" t="n">
        <f aca="false">C85-$B85</f>
        <v>0.0027</v>
      </c>
      <c r="I85" s="1" t="n">
        <f aca="false">D85-E85</f>
        <v>0.0094</v>
      </c>
      <c r="K85" s="1" t="n">
        <f aca="false">(1-Analysis!$C$21)*B85 + Analysis!$C$21*C85</f>
        <v>0.00548801136587879</v>
      </c>
      <c r="L85" s="2" t="n">
        <f aca="false">1+K85</f>
        <v>1.00548801136588</v>
      </c>
      <c r="N85" s="1" t="n">
        <f aca="false">Analysis!$C$35*G85+Analysis!$C$36*I85</f>
        <v>0.00665456967510235</v>
      </c>
      <c r="O85" s="1" t="n">
        <f aca="false">B85+Analysis!$C$42*N85</f>
        <v>0.00793219899550711</v>
      </c>
      <c r="P85" s="2" t="n">
        <f aca="false">1+O85</f>
        <v>1.00793219899551</v>
      </c>
    </row>
    <row r="86" customFormat="false" ht="15" hidden="false" customHeight="false" outlineLevel="0" collapsed="false">
      <c r="A86" s="6" t="n">
        <v>28491</v>
      </c>
      <c r="B86" s="1" t="n">
        <v>0.0049</v>
      </c>
      <c r="C86" s="1" t="n">
        <v>-0.0551</v>
      </c>
      <c r="D86" s="1" t="n">
        <v>-0.0252</v>
      </c>
      <c r="E86" s="1" t="n">
        <v>-0.0633</v>
      </c>
      <c r="G86" s="1" t="n">
        <f aca="false">C86-$B86</f>
        <v>-0.06</v>
      </c>
      <c r="I86" s="1" t="n">
        <f aca="false">D86-E86</f>
        <v>0.0381</v>
      </c>
      <c r="K86" s="1" t="n">
        <f aca="false">(1-Analysis!$C$21)*B86 + Analysis!$C$21*C86</f>
        <v>-0.00816691924175082</v>
      </c>
      <c r="L86" s="2" t="n">
        <f aca="false">1+K86</f>
        <v>0.991833080758249</v>
      </c>
      <c r="N86" s="1" t="n">
        <f aca="false">Analysis!$C$35*G86+Analysis!$C$36*I86</f>
        <v>-0.00209801714514322</v>
      </c>
      <c r="O86" s="1" t="n">
        <f aca="false">B86+Analysis!$C$42*N86</f>
        <v>0.00394402451388232</v>
      </c>
      <c r="P86" s="2" t="n">
        <f aca="false">1+O86</f>
        <v>1.00394402451388</v>
      </c>
    </row>
    <row r="87" customFormat="false" ht="15" hidden="false" customHeight="false" outlineLevel="0" collapsed="false">
      <c r="A87" s="6" t="n">
        <v>28522</v>
      </c>
      <c r="B87" s="1" t="n">
        <v>0.0046</v>
      </c>
      <c r="C87" s="1" t="n">
        <v>-0.0093</v>
      </c>
      <c r="D87" s="1" t="n">
        <v>-0.0034</v>
      </c>
      <c r="E87" s="1" t="n">
        <v>-0.0234</v>
      </c>
      <c r="G87" s="1" t="n">
        <f aca="false">C87-$B87</f>
        <v>-0.0139</v>
      </c>
      <c r="I87" s="1" t="n">
        <f aca="false">D87-E87</f>
        <v>0.02</v>
      </c>
      <c r="K87" s="1" t="n">
        <f aca="false">(1-Analysis!$C$21)*B87 + Analysis!$C$21*C87</f>
        <v>0.00157283037566106</v>
      </c>
      <c r="L87" s="2" t="n">
        <f aca="false">1+K87</f>
        <v>1.00157283037566</v>
      </c>
      <c r="N87" s="1" t="n">
        <f aca="false">Analysis!$C$35*G87+Analysis!$C$36*I87</f>
        <v>0.00610894208745816</v>
      </c>
      <c r="O87" s="1" t="n">
        <f aca="false">B87+Analysis!$C$42*N87</f>
        <v>0.00738358015102108</v>
      </c>
      <c r="P87" s="2" t="n">
        <f aca="false">1+O87</f>
        <v>1.00738358015102</v>
      </c>
    </row>
    <row r="88" customFormat="false" ht="15" hidden="false" customHeight="false" outlineLevel="0" collapsed="false">
      <c r="A88" s="6" t="n">
        <v>28550</v>
      </c>
      <c r="B88" s="1" t="n">
        <v>0.0053</v>
      </c>
      <c r="C88" s="1" t="n">
        <v>0.0338</v>
      </c>
      <c r="D88" s="1" t="n">
        <v>0.0503</v>
      </c>
      <c r="E88" s="1" t="n">
        <v>0.0255</v>
      </c>
      <c r="G88" s="1" t="n">
        <f aca="false">C88-$B88</f>
        <v>0.0285</v>
      </c>
      <c r="I88" s="1" t="n">
        <f aca="false">D88-E88</f>
        <v>0.0248</v>
      </c>
      <c r="K88" s="1" t="n">
        <f aca="false">(1-Analysis!$C$21)*B88 + Analysis!$C$21*C88</f>
        <v>0.0115067866398316</v>
      </c>
      <c r="L88" s="2" t="n">
        <f aca="false">1+K88</f>
        <v>1.01150678663983</v>
      </c>
      <c r="N88" s="1" t="n">
        <f aca="false">Analysis!$C$35*G88+Analysis!$C$36*I88</f>
        <v>0.0263161331644957</v>
      </c>
      <c r="O88" s="1" t="n">
        <f aca="false">B88+Analysis!$C$42*N88</f>
        <v>0.0172911213561361</v>
      </c>
      <c r="P88" s="2" t="n">
        <f aca="false">1+O88</f>
        <v>1.01729112135614</v>
      </c>
    </row>
    <row r="89" customFormat="false" ht="15" hidden="false" customHeight="false" outlineLevel="0" collapsed="false">
      <c r="A89" s="6" t="n">
        <v>28581</v>
      </c>
      <c r="B89" s="1" t="n">
        <v>0.0054</v>
      </c>
      <c r="C89" s="1" t="n">
        <v>0.0841</v>
      </c>
      <c r="D89" s="1" t="n">
        <v>0.069</v>
      </c>
      <c r="E89" s="1" t="n">
        <v>0.11</v>
      </c>
      <c r="G89" s="1" t="n">
        <f aca="false">C89-$B89</f>
        <v>0.0787</v>
      </c>
      <c r="I89" s="1" t="n">
        <f aca="false">D89-E89</f>
        <v>-0.041</v>
      </c>
      <c r="K89" s="1" t="n">
        <f aca="false">(1-Analysis!$C$21)*B89 + Analysis!$C$21*C89</f>
        <v>0.0225394424054298</v>
      </c>
      <c r="L89" s="2" t="n">
        <f aca="false">1+K89</f>
        <v>1.02253944240543</v>
      </c>
      <c r="N89" s="1" t="n">
        <f aca="false">Analysis!$C$35*G89+Analysis!$C$36*I89</f>
        <v>0.00804895670003714</v>
      </c>
      <c r="O89" s="1" t="n">
        <f aca="false">B89+Analysis!$C$42*N89</f>
        <v>0.00906756073079323</v>
      </c>
      <c r="P89" s="2" t="n">
        <f aca="false">1+O89</f>
        <v>1.00906756073079</v>
      </c>
    </row>
    <row r="90" customFormat="false" ht="15" hidden="false" customHeight="false" outlineLevel="0" collapsed="false">
      <c r="A90" s="6" t="n">
        <v>28611</v>
      </c>
      <c r="B90" s="1" t="n">
        <v>0.0051</v>
      </c>
      <c r="C90" s="1" t="n">
        <v>0.0227</v>
      </c>
      <c r="D90" s="1" t="n">
        <v>0.0341</v>
      </c>
      <c r="E90" s="1" t="n">
        <v>0.023</v>
      </c>
      <c r="G90" s="1" t="n">
        <f aca="false">C90-$B90</f>
        <v>0.0176</v>
      </c>
      <c r="I90" s="1" t="n">
        <f aca="false">D90-E90</f>
        <v>0.0111</v>
      </c>
      <c r="K90" s="1" t="n">
        <f aca="false">(1-Analysis!$C$21)*B90 + Analysis!$C$21*C90</f>
        <v>0.00893296297758024</v>
      </c>
      <c r="L90" s="2" t="n">
        <f aca="false">1+K90</f>
        <v>1.00893296297758</v>
      </c>
      <c r="N90" s="1" t="n">
        <f aca="false">Analysis!$C$35*G90+Analysis!$C$36*I90</f>
        <v>0.0137634771808709</v>
      </c>
      <c r="O90" s="1" t="n">
        <f aca="false">B90+Analysis!$C$42*N90</f>
        <v>0.0113714200496939</v>
      </c>
      <c r="P90" s="2" t="n">
        <f aca="false">1+O90</f>
        <v>1.01137142004969</v>
      </c>
    </row>
    <row r="91" customFormat="false" ht="15" hidden="false" customHeight="false" outlineLevel="0" collapsed="false">
      <c r="A91" s="6" t="n">
        <v>28642</v>
      </c>
      <c r="B91" s="1" t="n">
        <v>0.0054</v>
      </c>
      <c r="C91" s="1" t="n">
        <v>-0.0115</v>
      </c>
      <c r="D91" s="1" t="n">
        <v>-0.0086</v>
      </c>
      <c r="E91" s="1" t="n">
        <v>-0.0134</v>
      </c>
      <c r="G91" s="1" t="n">
        <f aca="false">C91-$B91</f>
        <v>-0.0169</v>
      </c>
      <c r="I91" s="1" t="n">
        <f aca="false">D91-E91</f>
        <v>0.0048</v>
      </c>
      <c r="K91" s="1" t="n">
        <f aca="false">(1-Analysis!$C$21)*B91 + Analysis!$C$21*C91</f>
        <v>0.00171948441357352</v>
      </c>
      <c r="L91" s="2" t="n">
        <f aca="false">1+K91</f>
        <v>1.00171948441357</v>
      </c>
      <c r="N91" s="1" t="n">
        <f aca="false">Analysis!$C$35*G91+Analysis!$C$36*I91</f>
        <v>-0.00409191612690732</v>
      </c>
      <c r="O91" s="1" t="n">
        <f aca="false">B91+Analysis!$C$42*N91</f>
        <v>0.00353549116239182</v>
      </c>
      <c r="P91" s="2" t="n">
        <f aca="false">1+O91</f>
        <v>1.00353549116239</v>
      </c>
    </row>
    <row r="92" customFormat="false" ht="15" hidden="false" customHeight="false" outlineLevel="0" collapsed="false">
      <c r="A92" s="6" t="n">
        <v>28672</v>
      </c>
      <c r="B92" s="1" t="n">
        <v>0.0056</v>
      </c>
      <c r="C92" s="1" t="n">
        <v>0.0568</v>
      </c>
      <c r="D92" s="1" t="n">
        <v>0.0594</v>
      </c>
      <c r="E92" s="1" t="n">
        <v>0.0699</v>
      </c>
      <c r="G92" s="1" t="n">
        <f aca="false">C92-$B92</f>
        <v>0.0512</v>
      </c>
      <c r="I92" s="1" t="n">
        <f aca="false">D92-E92</f>
        <v>-0.0105</v>
      </c>
      <c r="K92" s="1" t="n">
        <f aca="false">(1-Analysis!$C$21)*B92 + Analysis!$C$21*C92</f>
        <v>0.0167504377529607</v>
      </c>
      <c r="L92" s="2" t="n">
        <f aca="false">1+K92</f>
        <v>1.01675043775296</v>
      </c>
      <c r="N92" s="1" t="n">
        <f aca="false">Analysis!$C$35*G92+Analysis!$C$36*I92</f>
        <v>0.0147825449322664</v>
      </c>
      <c r="O92" s="1" t="n">
        <f aca="false">B92+Analysis!$C$42*N92</f>
        <v>0.0123357650581617</v>
      </c>
      <c r="P92" s="2" t="n">
        <f aca="false">1+O92</f>
        <v>1.01233576505816</v>
      </c>
    </row>
    <row r="93" customFormat="false" ht="15" hidden="false" customHeight="false" outlineLevel="0" collapsed="false">
      <c r="A93" s="6" t="n">
        <v>28703</v>
      </c>
      <c r="B93" s="1" t="n">
        <v>0.0056</v>
      </c>
      <c r="C93" s="1" t="n">
        <v>0.0434</v>
      </c>
      <c r="D93" s="1" t="n">
        <v>0.0361</v>
      </c>
      <c r="E93" s="1" t="n">
        <v>0.0405</v>
      </c>
      <c r="G93" s="1" t="n">
        <f aca="false">C93-$B93</f>
        <v>0.0378</v>
      </c>
      <c r="I93" s="1" t="n">
        <f aca="false">D93-E93</f>
        <v>-0.0044</v>
      </c>
      <c r="K93" s="1" t="n">
        <f aca="false">(1-Analysis!$C$21)*B93 + Analysis!$C$21*C93</f>
        <v>0.013832159122303</v>
      </c>
      <c r="L93" s="2" t="n">
        <f aca="false">1+K93</f>
        <v>1.0138321591223</v>
      </c>
      <c r="N93" s="1" t="n">
        <f aca="false">Analysis!$C$35*G93+Analysis!$C$36*I93</f>
        <v>0.0128921133896539</v>
      </c>
      <c r="O93" s="1" t="n">
        <f aca="false">B93+Analysis!$C$42*N93</f>
        <v>0.0114743773344699</v>
      </c>
      <c r="P93" s="2" t="n">
        <f aca="false">1+O93</f>
        <v>1.01147437733447</v>
      </c>
    </row>
    <row r="94" customFormat="false" ht="15" hidden="false" customHeight="false" outlineLevel="0" collapsed="false">
      <c r="A94" s="6" t="n">
        <v>28734</v>
      </c>
      <c r="B94" s="1" t="n">
        <v>0.0062</v>
      </c>
      <c r="C94" s="1" t="n">
        <v>-0.0082</v>
      </c>
      <c r="D94" s="1" t="n">
        <v>-0.0021</v>
      </c>
      <c r="E94" s="1" t="n">
        <v>-0.0254</v>
      </c>
      <c r="G94" s="1" t="n">
        <f aca="false">C94-$B94</f>
        <v>-0.0144</v>
      </c>
      <c r="I94" s="1" t="n">
        <f aca="false">D94-E94</f>
        <v>0.0233</v>
      </c>
      <c r="K94" s="1" t="n">
        <f aca="false">(1-Analysis!$C$21)*B94 + Analysis!$C$21*C94</f>
        <v>0.0030639393819798</v>
      </c>
      <c r="L94" s="2" t="n">
        <f aca="false">1+K94</f>
        <v>1.00306393938198</v>
      </c>
      <c r="N94" s="1" t="n">
        <f aca="false">Analysis!$C$35*G94+Analysis!$C$36*I94</f>
        <v>0.00785183235094904</v>
      </c>
      <c r="O94" s="1" t="n">
        <f aca="false">B94+Analysis!$C$42*N94</f>
        <v>0.00977773970817605</v>
      </c>
      <c r="P94" s="2" t="n">
        <f aca="false">1+O94</f>
        <v>1.00977773970818</v>
      </c>
    </row>
    <row r="95" customFormat="false" ht="15" hidden="false" customHeight="false" outlineLevel="0" collapsed="false">
      <c r="A95" s="6" t="n">
        <v>28764</v>
      </c>
      <c r="B95" s="1" t="n">
        <v>0.0068</v>
      </c>
      <c r="C95" s="1" t="n">
        <v>-0.1122</v>
      </c>
      <c r="D95" s="1" t="n">
        <v>-0.1341</v>
      </c>
      <c r="E95" s="1" t="n">
        <v>-0.1126</v>
      </c>
      <c r="G95" s="1" t="n">
        <f aca="false">C95-$B95</f>
        <v>-0.119</v>
      </c>
      <c r="I95" s="1" t="n">
        <f aca="false">D95-E95</f>
        <v>-0.0215</v>
      </c>
      <c r="K95" s="1" t="n">
        <f aca="false">(1-Analysis!$C$21)*B95 + Analysis!$C$21*C95</f>
        <v>-0.0191160564961391</v>
      </c>
      <c r="L95" s="2" t="n">
        <f aca="false">1+K95</f>
        <v>0.980883943503861</v>
      </c>
      <c r="N95" s="1" t="n">
        <f aca="false">Analysis!$C$35*G95+Analysis!$C$36*I95</f>
        <v>-0.0614521577130628</v>
      </c>
      <c r="O95" s="1" t="n">
        <f aca="false">B95+Analysis!$C$42*N95</f>
        <v>-0.0212010849666891</v>
      </c>
      <c r="P95" s="2" t="n">
        <f aca="false">1+O95</f>
        <v>0.978798915033311</v>
      </c>
    </row>
    <row r="96" customFormat="false" ht="15" hidden="false" customHeight="false" outlineLevel="0" collapsed="false">
      <c r="A96" s="6" t="n">
        <v>28795</v>
      </c>
      <c r="B96" s="1" t="n">
        <v>0.007</v>
      </c>
      <c r="C96" s="1" t="n">
        <v>0.0341</v>
      </c>
      <c r="D96" s="1" t="n">
        <v>0.0334</v>
      </c>
      <c r="E96" s="1" t="n">
        <v>0.0341</v>
      </c>
      <c r="G96" s="1" t="n">
        <f aca="false">C96-$B96</f>
        <v>0.0271</v>
      </c>
      <c r="I96" s="1" t="n">
        <f aca="false">D96-E96</f>
        <v>-0.000699999999999999</v>
      </c>
      <c r="K96" s="1" t="n">
        <f aca="false">(1-Analysis!$C$21)*B96 + Analysis!$C$21*C96</f>
        <v>0.0129018918575241</v>
      </c>
      <c r="L96" s="2" t="n">
        <f aca="false">1+K96</f>
        <v>1.01290189185752</v>
      </c>
      <c r="N96" s="1" t="n">
        <f aca="false">Analysis!$C$35*G96+Analysis!$C$36*I96</f>
        <v>0.0106914870197246</v>
      </c>
      <c r="O96" s="1" t="n">
        <f aca="false">B96+Analysis!$C$42*N96</f>
        <v>0.0118716472716453</v>
      </c>
      <c r="P96" s="2" t="n">
        <f aca="false">1+O96</f>
        <v>1.01187164727165</v>
      </c>
    </row>
    <row r="97" customFormat="false" ht="15" hidden="false" customHeight="false" outlineLevel="0" collapsed="false">
      <c r="A97" s="6" t="n">
        <v>28825</v>
      </c>
      <c r="B97" s="1" t="n">
        <v>0.0078</v>
      </c>
      <c r="C97" s="1" t="n">
        <v>0.0165</v>
      </c>
      <c r="D97" s="1" t="n">
        <v>0.0019</v>
      </c>
      <c r="E97" s="1" t="n">
        <v>0.0284</v>
      </c>
      <c r="G97" s="1" t="n">
        <f aca="false">C97-$B97</f>
        <v>0.0087</v>
      </c>
      <c r="I97" s="1" t="n">
        <f aca="false">D97-E97</f>
        <v>-0.0265</v>
      </c>
      <c r="K97" s="1" t="n">
        <f aca="false">(1-Analysis!$C$21)*B97 + Analysis!$C$21*C97</f>
        <v>0.00969470329005387</v>
      </c>
      <c r="L97" s="2" t="n">
        <f aca="false">1+K97</f>
        <v>1.00969470329005</v>
      </c>
      <c r="N97" s="1" t="n">
        <f aca="false">Analysis!$C$35*G97+Analysis!$C$36*I97</f>
        <v>-0.012076246651284</v>
      </c>
      <c r="O97" s="1" t="n">
        <f aca="false">B97+Analysis!$C$42*N97</f>
        <v>0.0022973777789837</v>
      </c>
      <c r="P97" s="2" t="n">
        <f aca="false">1+O97</f>
        <v>1.00229737777898</v>
      </c>
    </row>
    <row r="98" customFormat="false" ht="15" hidden="false" customHeight="false" outlineLevel="0" collapsed="false">
      <c r="A98" s="6" t="n">
        <v>28856</v>
      </c>
      <c r="B98" s="1" t="n">
        <v>0.0077</v>
      </c>
      <c r="C98" s="1" t="n">
        <v>0.0499</v>
      </c>
      <c r="D98" s="1" t="n">
        <v>0.074</v>
      </c>
      <c r="E98" s="1" t="n">
        <v>0.0387</v>
      </c>
      <c r="G98" s="1" t="n">
        <f aca="false">C98-$B98</f>
        <v>0.0422</v>
      </c>
      <c r="I98" s="1" t="n">
        <f aca="false">D98-E98</f>
        <v>0.0353</v>
      </c>
      <c r="K98" s="1" t="n">
        <f aca="false">(1-Analysis!$C$21)*B98 + Analysis!$C$21*C98</f>
        <v>0.0168903998666981</v>
      </c>
      <c r="L98" s="2" t="n">
        <f aca="false">1+K98</f>
        <v>1.0168903998667</v>
      </c>
      <c r="N98" s="1" t="n">
        <f aca="false">Analysis!$C$35*G98+Analysis!$C$36*I98</f>
        <v>0.0381273834689245</v>
      </c>
      <c r="O98" s="1" t="n">
        <f aca="false">B98+Analysis!$C$42*N98</f>
        <v>0.0250729962266882</v>
      </c>
      <c r="P98" s="2" t="n">
        <f aca="false">1+O98</f>
        <v>1.02507299622669</v>
      </c>
    </row>
    <row r="99" customFormat="false" ht="15" hidden="false" customHeight="false" outlineLevel="0" collapsed="false">
      <c r="A99" s="6" t="n">
        <v>28887</v>
      </c>
      <c r="B99" s="1" t="n">
        <v>0.0073</v>
      </c>
      <c r="C99" s="1" t="n">
        <v>-0.0283</v>
      </c>
      <c r="D99" s="1" t="n">
        <v>-0.0263</v>
      </c>
      <c r="E99" s="1" t="n">
        <v>-0.0367</v>
      </c>
      <c r="G99" s="1" t="n">
        <f aca="false">C99-$B99</f>
        <v>-0.0356</v>
      </c>
      <c r="I99" s="1" t="n">
        <f aca="false">D99-E99</f>
        <v>0.0104</v>
      </c>
      <c r="K99" s="1" t="n">
        <f aca="false">(1-Analysis!$C$21)*B99 + Analysis!$C$21*C99</f>
        <v>-0.000453038750105486</v>
      </c>
      <c r="L99" s="2" t="n">
        <f aca="false">1+K99</f>
        <v>0.999546961249895</v>
      </c>
      <c r="N99" s="1" t="n">
        <f aca="false">Analysis!$C$35*G99+Analysis!$C$36*I99</f>
        <v>-0.00844922312616298</v>
      </c>
      <c r="O99" s="1" t="n">
        <f aca="false">B99+Analysis!$C$42*N99</f>
        <v>0.00345005520615084</v>
      </c>
      <c r="P99" s="2" t="n">
        <f aca="false">1+O99</f>
        <v>1.00345005520615</v>
      </c>
    </row>
    <row r="100" customFormat="false" ht="15" hidden="false" customHeight="false" outlineLevel="0" collapsed="false">
      <c r="A100" s="6" t="n">
        <v>28915</v>
      </c>
      <c r="B100" s="1" t="n">
        <v>0.0081</v>
      </c>
      <c r="C100" s="1" t="n">
        <v>0.0648</v>
      </c>
      <c r="D100" s="1" t="n">
        <v>0.0775</v>
      </c>
      <c r="E100" s="1" t="n">
        <v>0.0635</v>
      </c>
      <c r="G100" s="1" t="n">
        <f aca="false">C100-$B100</f>
        <v>0.0567</v>
      </c>
      <c r="I100" s="1" t="n">
        <f aca="false">D100-E100</f>
        <v>0.014</v>
      </c>
      <c r="K100" s="1" t="n">
        <f aca="false">(1-Analysis!$C$21)*B100 + Analysis!$C$21*C100</f>
        <v>0.0204482386834545</v>
      </c>
      <c r="L100" s="2" t="n">
        <f aca="false">1+K100</f>
        <v>1.02044823868345</v>
      </c>
      <c r="N100" s="1" t="n">
        <f aca="false">Analysis!$C$35*G100+Analysis!$C$36*I100</f>
        <v>0.0314969962497209</v>
      </c>
      <c r="O100" s="1" t="n">
        <f aca="false">B100+Analysis!$C$42*N100</f>
        <v>0.0224518161282797</v>
      </c>
      <c r="P100" s="2" t="n">
        <f aca="false">1+O100</f>
        <v>1.02245181612828</v>
      </c>
    </row>
    <row r="101" customFormat="false" ht="15" hidden="false" customHeight="false" outlineLevel="0" collapsed="false">
      <c r="A101" s="6" t="n">
        <v>28946</v>
      </c>
      <c r="B101" s="1" t="n">
        <v>0.008</v>
      </c>
      <c r="C101" s="1" t="n">
        <v>0.0073</v>
      </c>
      <c r="D101" s="1" t="n">
        <v>0.0131</v>
      </c>
      <c r="E101" s="1" t="n">
        <v>0.0027</v>
      </c>
      <c r="G101" s="1" t="n">
        <f aca="false">C101-$B101</f>
        <v>-0.0007</v>
      </c>
      <c r="I101" s="1" t="n">
        <f aca="false">D101-E101</f>
        <v>0.0104</v>
      </c>
      <c r="K101" s="1" t="n">
        <f aca="false">(1-Analysis!$C$21)*B101 + Analysis!$C$21*C101</f>
        <v>0.00784755260884624</v>
      </c>
      <c r="L101" s="2" t="n">
        <f aca="false">1+K101</f>
        <v>1.00784755260885</v>
      </c>
      <c r="N101" s="1" t="n">
        <f aca="false">Analysis!$C$35*G101+Analysis!$C$36*I101</f>
        <v>0.00585160050651285</v>
      </c>
      <c r="O101" s="1" t="n">
        <f aca="false">B101+Analysis!$C$42*N101</f>
        <v>0.0106663207456287</v>
      </c>
      <c r="P101" s="2" t="n">
        <f aca="false">1+O101</f>
        <v>1.01066632074563</v>
      </c>
    </row>
    <row r="102" customFormat="false" ht="15" hidden="false" customHeight="false" outlineLevel="0" collapsed="false">
      <c r="A102" s="6" t="n">
        <v>28976</v>
      </c>
      <c r="B102" s="1" t="n">
        <v>0.0082</v>
      </c>
      <c r="C102" s="1" t="n">
        <v>-0.0138</v>
      </c>
      <c r="D102" s="1" t="n">
        <v>-0.0111</v>
      </c>
      <c r="E102" s="1" t="n">
        <v>-0.019</v>
      </c>
      <c r="G102" s="1" t="n">
        <f aca="false">C102-$B102</f>
        <v>-0.022</v>
      </c>
      <c r="I102" s="1" t="n">
        <f aca="false">D102-E102</f>
        <v>0.0079</v>
      </c>
      <c r="K102" s="1" t="n">
        <f aca="false">(1-Analysis!$C$21)*B102 + Analysis!$C$21*C102</f>
        <v>0.0034087962780247</v>
      </c>
      <c r="L102" s="2" t="n">
        <f aca="false">1+K102</f>
        <v>1.00340879627802</v>
      </c>
      <c r="N102" s="1" t="n">
        <f aca="false">Analysis!$C$35*G102+Analysis!$C$36*I102</f>
        <v>-0.00435199503200593</v>
      </c>
      <c r="O102" s="1" t="n">
        <f aca="false">B102+Analysis!$C$42*N102</f>
        <v>0.00621698447701694</v>
      </c>
      <c r="P102" s="2" t="n">
        <f aca="false">1+O102</f>
        <v>1.00621698447702</v>
      </c>
    </row>
    <row r="103" customFormat="false" ht="15" hidden="false" customHeight="false" outlineLevel="0" collapsed="false">
      <c r="A103" s="6" t="n">
        <v>29007</v>
      </c>
      <c r="B103" s="1" t="n">
        <v>0.0081</v>
      </c>
      <c r="C103" s="1" t="n">
        <v>0.0465</v>
      </c>
      <c r="D103" s="1" t="n">
        <v>0.0574</v>
      </c>
      <c r="E103" s="1" t="n">
        <v>0.0339</v>
      </c>
      <c r="G103" s="1" t="n">
        <f aca="false">C103-$B103</f>
        <v>0.0384</v>
      </c>
      <c r="I103" s="1" t="n">
        <f aca="false">D103-E103</f>
        <v>0.0235</v>
      </c>
      <c r="K103" s="1" t="n">
        <f aca="false">(1-Analysis!$C$21)*B103 + Analysis!$C$21*C103</f>
        <v>0.0164628283147205</v>
      </c>
      <c r="L103" s="2" t="n">
        <f aca="false">1+K103</f>
        <v>1.01646282831472</v>
      </c>
      <c r="N103" s="1" t="n">
        <f aca="false">Analysis!$C$35*G103+Analysis!$C$36*I103</f>
        <v>0.0296055092299963</v>
      </c>
      <c r="O103" s="1" t="n">
        <f aca="false">B103+Analysis!$C$42*N103</f>
        <v>0.0215899474694118</v>
      </c>
      <c r="P103" s="2" t="n">
        <f aca="false">1+O103</f>
        <v>1.02158994746941</v>
      </c>
    </row>
    <row r="104" customFormat="false" ht="15" hidden="false" customHeight="false" outlineLevel="0" collapsed="false">
      <c r="A104" s="6" t="n">
        <v>29037</v>
      </c>
      <c r="B104" s="1" t="n">
        <v>0.0077</v>
      </c>
      <c r="C104" s="1" t="n">
        <v>0.016</v>
      </c>
      <c r="D104" s="1" t="n">
        <v>0.0305</v>
      </c>
      <c r="E104" s="1" t="n">
        <v>0.0075</v>
      </c>
      <c r="G104" s="1" t="n">
        <f aca="false">C104-$B104</f>
        <v>0.0083</v>
      </c>
      <c r="I104" s="1" t="n">
        <f aca="false">D104-E104</f>
        <v>0.023</v>
      </c>
      <c r="K104" s="1" t="n">
        <f aca="false">(1-Analysis!$C$21)*B104 + Analysis!$C$21*C104</f>
        <v>0.00950759049510886</v>
      </c>
      <c r="L104" s="2" t="n">
        <f aca="false">1+K104</f>
        <v>1.00950759049511</v>
      </c>
      <c r="N104" s="1" t="n">
        <f aca="false">Analysis!$C$35*G104+Analysis!$C$36*I104</f>
        <v>0.0169764439140305</v>
      </c>
      <c r="O104" s="1" t="n">
        <f aca="false">B104+Analysis!$C$42*N104</f>
        <v>0.0154354297417608</v>
      </c>
      <c r="P104" s="2" t="n">
        <f aca="false">1+O104</f>
        <v>1.01543542974176</v>
      </c>
    </row>
    <row r="105" customFormat="false" ht="15" hidden="false" customHeight="false" outlineLevel="0" collapsed="false">
      <c r="A105" s="6" t="n">
        <v>29068</v>
      </c>
      <c r="B105" s="1" t="n">
        <v>0.0077</v>
      </c>
      <c r="C105" s="1" t="n">
        <v>0.0631</v>
      </c>
      <c r="D105" s="1" t="n">
        <v>0.0576</v>
      </c>
      <c r="E105" s="1" t="n">
        <v>0.0706</v>
      </c>
      <c r="G105" s="1" t="n">
        <f aca="false">C105-$B105</f>
        <v>0.0554</v>
      </c>
      <c r="I105" s="1" t="n">
        <f aca="false">D105-E105</f>
        <v>-0.013</v>
      </c>
      <c r="K105" s="1" t="n">
        <f aca="false">(1-Analysis!$C$21)*B105 + Analysis!$C$21*C105</f>
        <v>0.0197651220998833</v>
      </c>
      <c r="L105" s="2" t="n">
        <f aca="false">1+K105</f>
        <v>1.01976512209988</v>
      </c>
      <c r="N105" s="1" t="n">
        <f aca="false">Analysis!$C$35*G105+Analysis!$C$36*I105</f>
        <v>0.0150279752571641</v>
      </c>
      <c r="O105" s="1" t="n">
        <f aca="false">B105+Analysis!$C$42*N105</f>
        <v>0.0145475970204005</v>
      </c>
      <c r="P105" s="2" t="n">
        <f aca="false">1+O105</f>
        <v>1.0145475970204</v>
      </c>
    </row>
    <row r="106" customFormat="false" ht="15" hidden="false" customHeight="false" outlineLevel="0" collapsed="false">
      <c r="A106" s="6" t="n">
        <v>29099</v>
      </c>
      <c r="B106" s="1" t="n">
        <v>0.0083</v>
      </c>
      <c r="C106" s="1" t="n">
        <v>0</v>
      </c>
      <c r="D106" s="1" t="n">
        <v>-0.0077</v>
      </c>
      <c r="E106" s="1" t="n">
        <v>-0.006</v>
      </c>
      <c r="G106" s="1" t="n">
        <f aca="false">C106-$B106</f>
        <v>-0.0083</v>
      </c>
      <c r="I106" s="1" t="n">
        <f aca="false">D106-E106</f>
        <v>-0.0017</v>
      </c>
      <c r="K106" s="1" t="n">
        <f aca="false">(1-Analysis!$C$21)*B106 + Analysis!$C$21*C106</f>
        <v>0.00649240950489114</v>
      </c>
      <c r="L106" s="2" t="n">
        <f aca="false">1+K106</f>
        <v>1.00649240950489</v>
      </c>
      <c r="N106" s="1" t="n">
        <f aca="false">Analysis!$C$35*G106+Analysis!$C$36*I106</f>
        <v>-0.00440445375288425</v>
      </c>
      <c r="O106" s="1" t="n">
        <f aca="false">B106+Analysis!$C$42*N106</f>
        <v>0.00629308131144517</v>
      </c>
      <c r="P106" s="2" t="n">
        <f aca="false">1+O106</f>
        <v>1.00629308131145</v>
      </c>
    </row>
    <row r="107" customFormat="false" ht="15" hidden="false" customHeight="false" outlineLevel="0" collapsed="false">
      <c r="A107" s="6" t="n">
        <v>29129</v>
      </c>
      <c r="B107" s="1" t="n">
        <v>0.0087</v>
      </c>
      <c r="C107" s="1" t="n">
        <v>-0.0723</v>
      </c>
      <c r="D107" s="1" t="n">
        <v>-0.0894</v>
      </c>
      <c r="E107" s="1" t="n">
        <v>-0.0704</v>
      </c>
      <c r="G107" s="1" t="n">
        <f aca="false">C107-$B107</f>
        <v>-0.081</v>
      </c>
      <c r="I107" s="1" t="n">
        <f aca="false">D107-E107</f>
        <v>-0.019</v>
      </c>
      <c r="K107" s="1" t="n">
        <f aca="false">(1-Analysis!$C$21)*B107 + Analysis!$C$21*C107</f>
        <v>-0.00894034097636361</v>
      </c>
      <c r="L107" s="2" t="n">
        <f aca="false">1+K107</f>
        <v>0.991059659023636</v>
      </c>
      <c r="N107" s="1" t="n">
        <f aca="false">Analysis!$C$35*G107+Analysis!$C$36*I107</f>
        <v>-0.0444054746483066</v>
      </c>
      <c r="O107" s="1" t="n">
        <f aca="false">B107+Analysis!$C$42*N107</f>
        <v>-0.0115336502880693</v>
      </c>
      <c r="P107" s="2" t="n">
        <f aca="false">1+O107</f>
        <v>0.988466349711931</v>
      </c>
    </row>
    <row r="108" customFormat="false" ht="15" hidden="false" customHeight="false" outlineLevel="0" collapsed="false">
      <c r="A108" s="6" t="n">
        <v>29160</v>
      </c>
      <c r="B108" s="1" t="n">
        <v>0.0099</v>
      </c>
      <c r="C108" s="1" t="n">
        <v>0.0621</v>
      </c>
      <c r="D108" s="1" t="n">
        <v>0.0465</v>
      </c>
      <c r="E108" s="1" t="n">
        <v>0.0698</v>
      </c>
      <c r="G108" s="1" t="n">
        <f aca="false">C108-$B108</f>
        <v>0.0522</v>
      </c>
      <c r="I108" s="1" t="n">
        <f aca="false">D108-E108</f>
        <v>-0.0233</v>
      </c>
      <c r="K108" s="1" t="n">
        <f aca="false">(1-Analysis!$C$21)*B108 + Analysis!$C$21*C108</f>
        <v>0.0212682197403232</v>
      </c>
      <c r="L108" s="2" t="n">
        <f aca="false">1+K108</f>
        <v>1.02126821974032</v>
      </c>
      <c r="N108" s="1" t="n">
        <f aca="false">Analysis!$C$35*G108+Analysis!$C$36*I108</f>
        <v>0.00763731187011532</v>
      </c>
      <c r="O108" s="1" t="n">
        <f aca="false">B108+Analysis!$C$42*N108</f>
        <v>0.0133799920222613</v>
      </c>
      <c r="P108" s="2" t="n">
        <f aca="false">1+O108</f>
        <v>1.01337999202226</v>
      </c>
    </row>
    <row r="109" customFormat="false" ht="15" hidden="false" customHeight="false" outlineLevel="0" collapsed="false">
      <c r="A109" s="6" t="n">
        <v>29190</v>
      </c>
      <c r="B109" s="1" t="n">
        <v>0.0095</v>
      </c>
      <c r="C109" s="1" t="n">
        <v>0.0273</v>
      </c>
      <c r="D109" s="1" t="n">
        <v>0.0256</v>
      </c>
      <c r="E109" s="1" t="n">
        <v>0.0364</v>
      </c>
      <c r="G109" s="1" t="n">
        <f aca="false">C109-$B109</f>
        <v>0.0178</v>
      </c>
      <c r="I109" s="1" t="n">
        <f aca="false">D109-E109</f>
        <v>-0.0108</v>
      </c>
      <c r="K109" s="1" t="n">
        <f aca="false">(1-Analysis!$C$21)*B109 + Analysis!$C$21*C109</f>
        <v>0.0133765193750527</v>
      </c>
      <c r="L109" s="2" t="n">
        <f aca="false">1+K109</f>
        <v>1.01337651937505</v>
      </c>
      <c r="N109" s="1" t="n">
        <f aca="false">Analysis!$C$35*G109+Analysis!$C$36*I109</f>
        <v>0.000919299595831763</v>
      </c>
      <c r="O109" s="1" t="n">
        <f aca="false">B109+Analysis!$C$42*N109</f>
        <v>0.00991888498387513</v>
      </c>
      <c r="P109" s="2" t="n">
        <f aca="false">1+O109</f>
        <v>1.00991888498388</v>
      </c>
    </row>
    <row r="110" customFormat="false" ht="15" hidden="false" customHeight="false" outlineLevel="0" collapsed="false">
      <c r="A110" s="6" t="n">
        <v>29221</v>
      </c>
      <c r="B110" s="1" t="n">
        <v>0.008</v>
      </c>
      <c r="C110" s="1" t="n">
        <v>0.063</v>
      </c>
      <c r="D110" s="1" t="n">
        <v>0.0799</v>
      </c>
      <c r="E110" s="1" t="n">
        <v>0.0523</v>
      </c>
      <c r="G110" s="1" t="n">
        <f aca="false">C110-$B110</f>
        <v>0.055</v>
      </c>
      <c r="I110" s="1" t="n">
        <f aca="false">D110-E110</f>
        <v>0.0276</v>
      </c>
      <c r="K110" s="1" t="n">
        <f aca="false">(1-Analysis!$C$21)*B110 + Analysis!$C$21*C110</f>
        <v>0.0199780093049383</v>
      </c>
      <c r="L110" s="2" t="n">
        <f aca="false">1+K110</f>
        <v>1.01997800930494</v>
      </c>
      <c r="N110" s="1" t="n">
        <f aca="false">Analysis!$C$35*G110+Analysis!$C$36*I110</f>
        <v>0.038827580731671</v>
      </c>
      <c r="O110" s="1" t="n">
        <f aca="false">B110+Analysis!$C$42*N110</f>
        <v>0.0256920457731526</v>
      </c>
      <c r="P110" s="2" t="n">
        <f aca="false">1+O110</f>
        <v>1.02569204577315</v>
      </c>
    </row>
    <row r="111" customFormat="false" ht="15" hidden="false" customHeight="false" outlineLevel="0" collapsed="false">
      <c r="A111" s="6" t="n">
        <v>29252</v>
      </c>
      <c r="B111" s="1" t="n">
        <v>0.0089</v>
      </c>
      <c r="C111" s="1" t="n">
        <v>-0.0034</v>
      </c>
      <c r="D111" s="1" t="n">
        <v>-0.0022</v>
      </c>
      <c r="E111" s="1" t="n">
        <v>-0.0273</v>
      </c>
      <c r="G111" s="1" t="n">
        <f aca="false">C111-$B111</f>
        <v>-0.0123</v>
      </c>
      <c r="I111" s="1" t="n">
        <f aca="false">D111-E111</f>
        <v>0.0251</v>
      </c>
      <c r="K111" s="1" t="n">
        <f aca="false">(1-Analysis!$C$21)*B111 + Analysis!$C$21*C111</f>
        <v>0.00622128155544108</v>
      </c>
      <c r="L111" s="2" t="n">
        <f aca="false">1+K111</f>
        <v>1.00622128155544</v>
      </c>
      <c r="N111" s="1" t="n">
        <f aca="false">Analysis!$C$35*G111+Analysis!$C$36*I111</f>
        <v>0.00977476206698923</v>
      </c>
      <c r="O111" s="1" t="n">
        <f aca="false">B111+Analysis!$C$42*N111</f>
        <v>0.0133539354410456</v>
      </c>
      <c r="P111" s="2" t="n">
        <f aca="false">1+O111</f>
        <v>1.01335393544105</v>
      </c>
    </row>
    <row r="112" customFormat="false" ht="15" hidden="false" customHeight="false" outlineLevel="0" collapsed="false">
      <c r="A112" s="6" t="n">
        <v>29281</v>
      </c>
      <c r="B112" s="1" t="n">
        <v>0.0121</v>
      </c>
      <c r="C112" s="1" t="n">
        <v>-0.1169</v>
      </c>
      <c r="D112" s="1" t="n">
        <v>-0.1399</v>
      </c>
      <c r="E112" s="1" t="n">
        <v>-0.1049</v>
      </c>
      <c r="G112" s="1" t="n">
        <f aca="false">C112-$B112</f>
        <v>-0.129</v>
      </c>
      <c r="I112" s="1" t="n">
        <f aca="false">D112-E112</f>
        <v>-0.035</v>
      </c>
      <c r="K112" s="1" t="n">
        <f aca="false">(1-Analysis!$C$21)*B112 + Analysis!$C$21*C112</f>
        <v>-0.0159938763697643</v>
      </c>
      <c r="L112" s="2" t="n">
        <f aca="false">1+K112</f>
        <v>0.984006123630236</v>
      </c>
      <c r="N112" s="1" t="n">
        <f aca="false">Analysis!$C$35*G112+Analysis!$C$36*I112</f>
        <v>-0.0735179776925939</v>
      </c>
      <c r="O112" s="1" t="n">
        <f aca="false">B112+Analysis!$C$42*N112</f>
        <v>-0.0213989562052739</v>
      </c>
      <c r="P112" s="2" t="n">
        <f aca="false">1+O112</f>
        <v>0.978601043794726</v>
      </c>
    </row>
    <row r="113" customFormat="false" ht="15" hidden="false" customHeight="false" outlineLevel="0" collapsed="false">
      <c r="A113" s="6" t="n">
        <v>29312</v>
      </c>
      <c r="B113" s="1" t="n">
        <v>0.0126</v>
      </c>
      <c r="C113" s="1" t="n">
        <v>0.0521</v>
      </c>
      <c r="D113" s="1" t="n">
        <v>0.0613</v>
      </c>
      <c r="E113" s="1" t="n">
        <v>0.0418</v>
      </c>
      <c r="G113" s="1" t="n">
        <f aca="false">C113-$B113</f>
        <v>0.0395</v>
      </c>
      <c r="I113" s="1" t="n">
        <f aca="false">D113-E113</f>
        <v>0.0195</v>
      </c>
      <c r="K113" s="1" t="n">
        <f aca="false">(1-Analysis!$C$21)*B113 + Analysis!$C$21*C113</f>
        <v>0.0212023885008193</v>
      </c>
      <c r="L113" s="2" t="n">
        <f aca="false">1+K113</f>
        <v>1.02120238850082</v>
      </c>
      <c r="N113" s="1" t="n">
        <f aca="false">Analysis!$C$35*G113+Analysis!$C$36*I113</f>
        <v>0.0276953144026796</v>
      </c>
      <c r="O113" s="1" t="n">
        <f aca="false">B113+Analysis!$C$42*N113</f>
        <v>0.0252195544734103</v>
      </c>
      <c r="P113" s="2" t="n">
        <f aca="false">1+O113</f>
        <v>1.02521955447341</v>
      </c>
    </row>
    <row r="114" customFormat="false" ht="15" hidden="false" customHeight="false" outlineLevel="0" collapsed="false">
      <c r="A114" s="6" t="n">
        <v>29342</v>
      </c>
      <c r="B114" s="1" t="n">
        <v>0.0081</v>
      </c>
      <c r="C114" s="1" t="n">
        <v>0.0607</v>
      </c>
      <c r="D114" s="1" t="n">
        <v>0.0682</v>
      </c>
      <c r="E114" s="1" t="n">
        <v>0.0603</v>
      </c>
      <c r="G114" s="1" t="n">
        <f aca="false">C114-$B114</f>
        <v>0.0526</v>
      </c>
      <c r="I114" s="1" t="n">
        <f aca="false">D114-E114</f>
        <v>0.0079</v>
      </c>
      <c r="K114" s="1" t="n">
        <f aca="false">(1-Analysis!$C$21)*B114 + Analysis!$C$21*C114</f>
        <v>0.0195553325352682</v>
      </c>
      <c r="L114" s="2" t="n">
        <f aca="false">1+K114</f>
        <v>1.01955533253527</v>
      </c>
      <c r="N114" s="1" t="n">
        <f aca="false">Analysis!$C$35*G114+Analysis!$C$36*I114</f>
        <v>0.0262165276899888</v>
      </c>
      <c r="O114" s="1" t="n">
        <f aca="false">B114+Analysis!$C$42*N114</f>
        <v>0.0200457354582505</v>
      </c>
      <c r="P114" s="2" t="n">
        <f aca="false">1+O114</f>
        <v>1.02004573545825</v>
      </c>
    </row>
    <row r="115" customFormat="false" ht="15" hidden="false" customHeight="false" outlineLevel="0" collapsed="false">
      <c r="A115" s="6" t="n">
        <v>29373</v>
      </c>
      <c r="B115" s="1" t="n">
        <v>0.0061</v>
      </c>
      <c r="C115" s="1" t="n">
        <v>0.0359</v>
      </c>
      <c r="D115" s="1" t="n">
        <v>0.0281</v>
      </c>
      <c r="E115" s="1" t="n">
        <v>0.0334</v>
      </c>
      <c r="G115" s="1" t="n">
        <f aca="false">C115-$B115</f>
        <v>0.0298</v>
      </c>
      <c r="I115" s="1" t="n">
        <f aca="false">D115-E115</f>
        <v>-0.0053</v>
      </c>
      <c r="K115" s="1" t="n">
        <f aca="false">(1-Analysis!$C$21)*B115 + Analysis!$C$21*C115</f>
        <v>0.0125899032234029</v>
      </c>
      <c r="L115" s="2" t="n">
        <f aca="false">1+K115</f>
        <v>1.0125899032234</v>
      </c>
      <c r="N115" s="1" t="n">
        <f aca="false">Analysis!$C$35*G115+Analysis!$C$36*I115</f>
        <v>0.00908277677670262</v>
      </c>
      <c r="O115" s="1" t="n">
        <f aca="false">B115+Analysis!$C$42*N115</f>
        <v>0.0102386277345288</v>
      </c>
      <c r="P115" s="2" t="n">
        <f aca="false">1+O115</f>
        <v>1.01023862773453</v>
      </c>
    </row>
    <row r="116" customFormat="false" ht="15" hidden="false" customHeight="false" outlineLevel="0" collapsed="false">
      <c r="A116" s="6" t="n">
        <v>29403</v>
      </c>
      <c r="B116" s="1" t="n">
        <v>0.0053</v>
      </c>
      <c r="C116" s="1" t="n">
        <v>0.0704</v>
      </c>
      <c r="D116" s="1" t="n">
        <v>0.0352</v>
      </c>
      <c r="E116" s="1" t="n">
        <v>0.098</v>
      </c>
      <c r="G116" s="1" t="n">
        <f aca="false">C116-$B116</f>
        <v>0.0651</v>
      </c>
      <c r="I116" s="1" t="n">
        <f aca="false">D116-E116</f>
        <v>-0.0628</v>
      </c>
      <c r="K116" s="1" t="n">
        <f aca="false">(1-Analysis!$C$21)*B116 + Analysis!$C$21*C116</f>
        <v>0.0194776073772996</v>
      </c>
      <c r="L116" s="2" t="n">
        <f aca="false">1+K116</f>
        <v>1.0194776073773</v>
      </c>
      <c r="N116" s="1" t="n">
        <f aca="false">Analysis!$C$35*G116+Analysis!$C$36*I116</f>
        <v>-0.0103909643948642</v>
      </c>
      <c r="O116" s="1" t="n">
        <f aca="false">B116+Analysis!$C$42*N116</f>
        <v>0.000565287864016108</v>
      </c>
      <c r="P116" s="2" t="n">
        <f aca="false">1+O116</f>
        <v>1.00056528786402</v>
      </c>
    </row>
    <row r="117" customFormat="false" ht="15" hidden="false" customHeight="false" outlineLevel="0" collapsed="false">
      <c r="A117" s="6" t="n">
        <v>29434</v>
      </c>
      <c r="B117" s="1" t="n">
        <v>0.0064</v>
      </c>
      <c r="C117" s="1" t="n">
        <v>0.0239</v>
      </c>
      <c r="D117" s="1" t="n">
        <v>0.021</v>
      </c>
      <c r="E117" s="1" t="n">
        <v>0.028</v>
      </c>
      <c r="G117" s="1" t="n">
        <f aca="false">C117-$B117</f>
        <v>0.0175</v>
      </c>
      <c r="I117" s="1" t="n">
        <f aca="false">D117-E117</f>
        <v>-0.007</v>
      </c>
      <c r="K117" s="1" t="n">
        <f aca="false">(1-Analysis!$C$21)*B117 + Analysis!$C$21*C117</f>
        <v>0.010211184778844</v>
      </c>
      <c r="L117" s="2" t="n">
        <f aca="false">1+K117</f>
        <v>1.01021118477884</v>
      </c>
      <c r="N117" s="1" t="n">
        <f aca="false">Analysis!$C$35*G117+Analysis!$C$36*I117</f>
        <v>0.00303926014328246</v>
      </c>
      <c r="O117" s="1" t="n">
        <f aca="false">B117+Analysis!$C$42*N117</f>
        <v>0.00778485912740918</v>
      </c>
      <c r="P117" s="2" t="n">
        <f aca="false">1+O117</f>
        <v>1.00778485912741</v>
      </c>
    </row>
    <row r="118" customFormat="false" ht="15" hidden="false" customHeight="false" outlineLevel="0" collapsed="false">
      <c r="A118" s="6" t="n">
        <v>29465</v>
      </c>
      <c r="B118" s="1" t="n">
        <v>0.0075</v>
      </c>
      <c r="C118" s="1" t="n">
        <v>0.0294</v>
      </c>
      <c r="D118" s="1" t="n">
        <v>-0.0061</v>
      </c>
      <c r="E118" s="1" t="n">
        <v>0.0422</v>
      </c>
      <c r="G118" s="1" t="n">
        <f aca="false">C118-$B118</f>
        <v>0.0219</v>
      </c>
      <c r="I118" s="1" t="n">
        <f aca="false">D118-E118</f>
        <v>-0.0483</v>
      </c>
      <c r="K118" s="1" t="n">
        <f aca="false">(1-Analysis!$C$21)*B118 + Analysis!$C$21*C118</f>
        <v>0.012269425523239</v>
      </c>
      <c r="L118" s="2" t="n">
        <f aca="false">1+K118</f>
        <v>1.01226942552324</v>
      </c>
      <c r="N118" s="1" t="n">
        <f aca="false">Analysis!$C$35*G118+Analysis!$C$36*I118</f>
        <v>-0.0195344464465948</v>
      </c>
      <c r="O118" s="1" t="n">
        <f aca="false">B118+Analysis!$C$42*N118</f>
        <v>-0.00140100063340926</v>
      </c>
      <c r="P118" s="2" t="n">
        <f aca="false">1+O118</f>
        <v>0.998598999366591</v>
      </c>
    </row>
    <row r="119" customFormat="false" ht="15" hidden="false" customHeight="false" outlineLevel="0" collapsed="false">
      <c r="A119" s="6" t="n">
        <v>29495</v>
      </c>
      <c r="B119" s="1" t="n">
        <v>0.0095</v>
      </c>
      <c r="C119" s="1" t="n">
        <v>0.0199</v>
      </c>
      <c r="D119" s="1" t="n">
        <v>-0.0031</v>
      </c>
      <c r="E119" s="1" t="n">
        <v>0.0226</v>
      </c>
      <c r="G119" s="1" t="n">
        <f aca="false">C119-$B119</f>
        <v>0.0104</v>
      </c>
      <c r="I119" s="1" t="n">
        <f aca="false">D119-E119</f>
        <v>-0.0257</v>
      </c>
      <c r="K119" s="1" t="n">
        <f aca="false">(1-Analysis!$C$21)*B119 + Analysis!$C$21*C119</f>
        <v>0.0117649326685701</v>
      </c>
      <c r="L119" s="2" t="n">
        <f aca="false">1+K119</f>
        <v>1.01176493266857</v>
      </c>
      <c r="N119" s="1" t="n">
        <f aca="false">Analysis!$C$35*G119+Analysis!$C$36*I119</f>
        <v>-0.0109074575031634</v>
      </c>
      <c r="O119" s="1" t="n">
        <f aca="false">B119+Analysis!$C$42*N119</f>
        <v>0.0045299443390951</v>
      </c>
      <c r="P119" s="2" t="n">
        <f aca="false">1+O119</f>
        <v>1.0045299443391</v>
      </c>
    </row>
    <row r="120" customFormat="false" ht="15" hidden="false" customHeight="false" outlineLevel="0" collapsed="false">
      <c r="A120" s="6" t="n">
        <v>29526</v>
      </c>
      <c r="B120" s="1" t="n">
        <v>0.0096</v>
      </c>
      <c r="C120" s="1" t="n">
        <v>0.1056</v>
      </c>
      <c r="D120" s="1" t="n">
        <v>0.0441</v>
      </c>
      <c r="E120" s="1" t="n">
        <v>0.116</v>
      </c>
      <c r="G120" s="1" t="n">
        <f aca="false">C120-$B120</f>
        <v>0.096</v>
      </c>
      <c r="I120" s="1" t="n">
        <f aca="false">D120-E120</f>
        <v>-0.0719</v>
      </c>
      <c r="K120" s="1" t="n">
        <f aca="false">(1-Analysis!$C$21)*B120 + Analysis!$C$21*C120</f>
        <v>0.0305070707868013</v>
      </c>
      <c r="L120" s="2" t="n">
        <f aca="false">1+K120</f>
        <v>1.0305070707868</v>
      </c>
      <c r="N120" s="1" t="n">
        <f aca="false">Analysis!$C$35*G120+Analysis!$C$36*I120</f>
        <v>-0.00310033558950515</v>
      </c>
      <c r="O120" s="1" t="n">
        <f aca="false">B120+Analysis!$C$42*N120</f>
        <v>0.00818731143872382</v>
      </c>
      <c r="P120" s="2" t="n">
        <f aca="false">1+O120</f>
        <v>1.00818731143872</v>
      </c>
    </row>
    <row r="121" customFormat="false" ht="15" hidden="false" customHeight="false" outlineLevel="0" collapsed="false">
      <c r="A121" s="6" t="n">
        <v>29556</v>
      </c>
      <c r="B121" s="1" t="n">
        <v>0.0131</v>
      </c>
      <c r="C121" s="1" t="n">
        <v>-0.0315</v>
      </c>
      <c r="D121" s="1" t="n">
        <v>-0.0071</v>
      </c>
      <c r="E121" s="1" t="n">
        <v>-0.0252</v>
      </c>
      <c r="G121" s="1" t="n">
        <f aca="false">C121-$B121</f>
        <v>-0.0446</v>
      </c>
      <c r="I121" s="1" t="n">
        <f aca="false">D121-E121</f>
        <v>0.0181</v>
      </c>
      <c r="K121" s="1" t="n">
        <f aca="false">(1-Analysis!$C$21)*B121 + Analysis!$C$21*C121</f>
        <v>0.00338692336363189</v>
      </c>
      <c r="L121" s="2" t="n">
        <f aca="false">1+K121</f>
        <v>1.00338692336363</v>
      </c>
      <c r="N121" s="1" t="n">
        <f aca="false">Analysis!$C$35*G121+Analysis!$C$36*I121</f>
        <v>-0.00759231065240041</v>
      </c>
      <c r="O121" s="1" t="n">
        <f aca="false">B121+Analysis!$C$42*N121</f>
        <v>0.00964051308232304</v>
      </c>
      <c r="P121" s="2" t="n">
        <f aca="false">1+O121</f>
        <v>1.00964051308232</v>
      </c>
    </row>
    <row r="122" customFormat="false" ht="15" hidden="false" customHeight="false" outlineLevel="0" collapsed="false">
      <c r="A122" s="6" t="n">
        <v>29587</v>
      </c>
      <c r="B122" s="1" t="n">
        <v>0.0104</v>
      </c>
      <c r="C122" s="1" t="n">
        <v>-0.0402</v>
      </c>
      <c r="D122" s="1" t="n">
        <v>0.0173</v>
      </c>
      <c r="E122" s="1" t="n">
        <v>-0.0566</v>
      </c>
      <c r="G122" s="1" t="n">
        <f aca="false">C122-$B122</f>
        <v>-0.0506</v>
      </c>
      <c r="I122" s="1" t="n">
        <f aca="false">D122-E122</f>
        <v>0.0739</v>
      </c>
      <c r="K122" s="1" t="n">
        <f aca="false">(1-Analysis!$C$21)*B122 + Analysis!$C$21*C122</f>
        <v>-0.00061976856054319</v>
      </c>
      <c r="L122" s="2" t="n">
        <f aca="false">1+K122</f>
        <v>0.999380231439457</v>
      </c>
      <c r="N122" s="1" t="n">
        <f aca="false">Analysis!$C$35*G122+Analysis!$C$36*I122</f>
        <v>0.0228841678433198</v>
      </c>
      <c r="O122" s="1" t="n">
        <f aca="false">B122+Analysis!$C$42*N122</f>
        <v>0.02082732349879</v>
      </c>
      <c r="P122" s="2" t="n">
        <f aca="false">1+O122</f>
        <v>1.02082732349879</v>
      </c>
    </row>
    <row r="123" customFormat="false" ht="15" hidden="false" customHeight="false" outlineLevel="0" collapsed="false">
      <c r="A123" s="6" t="n">
        <v>29618</v>
      </c>
      <c r="B123" s="1" t="n">
        <v>0.0107</v>
      </c>
      <c r="C123" s="1" t="n">
        <v>0.0168</v>
      </c>
      <c r="D123" s="1" t="n">
        <v>0.0162</v>
      </c>
      <c r="E123" s="1" t="n">
        <v>0.0244</v>
      </c>
      <c r="G123" s="1" t="n">
        <f aca="false">C123-$B123</f>
        <v>0.0061</v>
      </c>
      <c r="I123" s="1" t="n">
        <f aca="false">D123-E123</f>
        <v>-0.0082</v>
      </c>
      <c r="K123" s="1" t="n">
        <f aca="false">(1-Analysis!$C$21)*B123 + Analysis!$C$21*C123</f>
        <v>0.0120284701229113</v>
      </c>
      <c r="L123" s="2" t="n">
        <f aca="false">1+K123</f>
        <v>1.01202847012291</v>
      </c>
      <c r="N123" s="1" t="n">
        <f aca="false">Analysis!$C$35*G123+Analysis!$C$36*I123</f>
        <v>-0.00234035020208412</v>
      </c>
      <c r="O123" s="1" t="n">
        <f aca="false">B123+Analysis!$C$42*N123</f>
        <v>0.00963360384241748</v>
      </c>
      <c r="P123" s="2" t="n">
        <f aca="false">1+O123</f>
        <v>1.00963360384242</v>
      </c>
    </row>
    <row r="124" customFormat="false" ht="15" hidden="false" customHeight="false" outlineLevel="0" collapsed="false">
      <c r="A124" s="6" t="n">
        <v>29646</v>
      </c>
      <c r="B124" s="1" t="n">
        <v>0.0121</v>
      </c>
      <c r="C124" s="1" t="n">
        <v>0.0488</v>
      </c>
      <c r="D124" s="1" t="n">
        <v>0.0582</v>
      </c>
      <c r="E124" s="1" t="n">
        <v>0.0446</v>
      </c>
      <c r="G124" s="1" t="n">
        <f aca="false">C124-$B124</f>
        <v>0.0367</v>
      </c>
      <c r="I124" s="1" t="n">
        <f aca="false">D124-E124</f>
        <v>0.0136</v>
      </c>
      <c r="K124" s="1" t="n">
        <f aca="false">(1-Analysis!$C$21)*B124 + Analysis!$C$21*C124</f>
        <v>0.0200925989362043</v>
      </c>
      <c r="L124" s="2" t="n">
        <f aca="false">1+K124</f>
        <v>1.0200925989362</v>
      </c>
      <c r="N124" s="1" t="n">
        <f aca="false">Analysis!$C$35*G124+Analysis!$C$36*I124</f>
        <v>0.0230655881350949</v>
      </c>
      <c r="O124" s="1" t="n">
        <f aca="false">B124+Analysis!$C$42*N124</f>
        <v>0.022609988863095</v>
      </c>
      <c r="P124" s="2" t="n">
        <f aca="false">1+O124</f>
        <v>1.0226099888631</v>
      </c>
    </row>
    <row r="125" customFormat="false" ht="15" hidden="false" customHeight="false" outlineLevel="0" collapsed="false">
      <c r="A125" s="6" t="n">
        <v>29677</v>
      </c>
      <c r="B125" s="1" t="n">
        <v>0.0108</v>
      </c>
      <c r="C125" s="1" t="n">
        <v>-0.0108</v>
      </c>
      <c r="D125" s="1" t="n">
        <v>0.0145</v>
      </c>
      <c r="E125" s="1" t="n">
        <v>-0.0182</v>
      </c>
      <c r="G125" s="1" t="n">
        <f aca="false">C125-$B125</f>
        <v>-0.0216</v>
      </c>
      <c r="I125" s="1" t="n">
        <f aca="false">D125-E125</f>
        <v>0.0327</v>
      </c>
      <c r="K125" s="1" t="n">
        <f aca="false">(1-Analysis!$C$21)*B125 + Analysis!$C$21*C125</f>
        <v>0.00609590907296971</v>
      </c>
      <c r="L125" s="2" t="n">
        <f aca="false">1+K125</f>
        <v>1.00609590907297</v>
      </c>
      <c r="N125" s="1" t="n">
        <f aca="false">Analysis!$C$35*G125+Analysis!$C$36*I125</f>
        <v>0.010449721396725</v>
      </c>
      <c r="O125" s="1" t="n">
        <f aca="false">B125+Analysis!$C$42*N125</f>
        <v>0.0155614851552353</v>
      </c>
      <c r="P125" s="2" t="n">
        <f aca="false">1+O125</f>
        <v>1.01556148515524</v>
      </c>
    </row>
    <row r="126" customFormat="false" ht="15" hidden="false" customHeight="false" outlineLevel="0" collapsed="false">
      <c r="A126" s="6" t="n">
        <v>29707</v>
      </c>
      <c r="B126" s="1" t="n">
        <v>0.0115</v>
      </c>
      <c r="C126" s="1" t="n">
        <v>0.0128</v>
      </c>
      <c r="D126" s="1" t="n">
        <v>0.0285</v>
      </c>
      <c r="E126" s="1" t="n">
        <v>0.0129</v>
      </c>
      <c r="G126" s="1" t="n">
        <f aca="false">C126-$B126</f>
        <v>0.0013</v>
      </c>
      <c r="I126" s="1" t="n">
        <f aca="false">D126-E126</f>
        <v>0.0156</v>
      </c>
      <c r="K126" s="1" t="n">
        <f aca="false">(1-Analysis!$C$21)*B126 + Analysis!$C$21*C126</f>
        <v>0.0117831165835713</v>
      </c>
      <c r="L126" s="2" t="n">
        <f aca="false">1+K126</f>
        <v>1.01178311658357</v>
      </c>
      <c r="N126" s="1" t="n">
        <f aca="false">Analysis!$C$35*G126+Analysis!$C$36*I126</f>
        <v>0.00974035020208412</v>
      </c>
      <c r="O126" s="1" t="n">
        <f aca="false">B126+Analysis!$C$42*N126</f>
        <v>0.0159382554455999</v>
      </c>
      <c r="P126" s="2" t="n">
        <f aca="false">1+O126</f>
        <v>1.0159382554456</v>
      </c>
    </row>
    <row r="127" customFormat="false" ht="15" hidden="false" customHeight="false" outlineLevel="0" collapsed="false">
      <c r="A127" s="6" t="n">
        <v>29738</v>
      </c>
      <c r="B127" s="1" t="n">
        <v>0.0135</v>
      </c>
      <c r="C127" s="1" t="n">
        <v>-0.0099</v>
      </c>
      <c r="D127" s="1" t="n">
        <v>0.0031</v>
      </c>
      <c r="E127" s="1" t="n">
        <v>-0.0349</v>
      </c>
      <c r="G127" s="1" t="n">
        <f aca="false">C127-$B127</f>
        <v>-0.0234</v>
      </c>
      <c r="I127" s="1" t="n">
        <f aca="false">D127-E127</f>
        <v>0.038</v>
      </c>
      <c r="K127" s="1" t="n">
        <f aca="false">(1-Analysis!$C$21)*B127 + Analysis!$C$21*C127</f>
        <v>0.00840390149571718</v>
      </c>
      <c r="L127" s="2" t="n">
        <f aca="false">1+K127</f>
        <v>1.00840390149572</v>
      </c>
      <c r="N127" s="1" t="n">
        <f aca="false">Analysis!$C$35*G127+Analysis!$C$36*I127</f>
        <v>0.0128403847837738</v>
      </c>
      <c r="O127" s="1" t="n">
        <f aca="false">B127+Analysis!$C$42*N127</f>
        <v>0.0193508068506601</v>
      </c>
      <c r="P127" s="2" t="n">
        <f aca="false">1+O127</f>
        <v>1.01935080685066</v>
      </c>
    </row>
    <row r="128" customFormat="false" ht="15" hidden="false" customHeight="false" outlineLevel="0" collapsed="false">
      <c r="A128" s="6" t="n">
        <v>29768</v>
      </c>
      <c r="B128" s="1" t="n">
        <v>0.0124</v>
      </c>
      <c r="C128" s="1" t="n">
        <v>-0.0031</v>
      </c>
      <c r="D128" s="1" t="n">
        <v>-0.0116</v>
      </c>
      <c r="E128" s="1" t="n">
        <v>0.0077</v>
      </c>
      <c r="G128" s="1" t="n">
        <f aca="false">C128-$B128</f>
        <v>-0.0155</v>
      </c>
      <c r="I128" s="1" t="n">
        <f aca="false">D128-E128</f>
        <v>-0.0193</v>
      </c>
      <c r="K128" s="1" t="n">
        <f aca="false">(1-Analysis!$C$21)*B128 + Analysis!$C$21*C128</f>
        <v>0.00902437919588104</v>
      </c>
      <c r="L128" s="2" t="n">
        <f aca="false">1+K128</f>
        <v>1.00902437919588</v>
      </c>
      <c r="N128" s="1" t="n">
        <f aca="false">Analysis!$C$35*G128+Analysis!$C$36*I128</f>
        <v>-0.0177428902634909</v>
      </c>
      <c r="O128" s="1" t="n">
        <f aca="false">B128+Analysis!$C$42*N128</f>
        <v>0.00431533387415882</v>
      </c>
      <c r="P128" s="2" t="n">
        <f aca="false">1+O128</f>
        <v>1.00431533387416</v>
      </c>
    </row>
    <row r="129" customFormat="false" ht="15" hidden="false" customHeight="false" outlineLevel="0" collapsed="false">
      <c r="A129" s="6" t="n">
        <v>29799</v>
      </c>
      <c r="B129" s="1" t="n">
        <v>0.0128</v>
      </c>
      <c r="C129" s="1" t="n">
        <v>-0.0574</v>
      </c>
      <c r="D129" s="1" t="n">
        <v>-0.0294</v>
      </c>
      <c r="E129" s="1" t="n">
        <v>-0.0723</v>
      </c>
      <c r="G129" s="1" t="n">
        <f aca="false">C129-$B129</f>
        <v>-0.0702</v>
      </c>
      <c r="I129" s="1" t="n">
        <f aca="false">D129-E129</f>
        <v>0.0429</v>
      </c>
      <c r="K129" s="1" t="n">
        <f aca="false">(1-Analysis!$C$21)*B129 + Analysis!$C$21*C129</f>
        <v>-0.00248829551284846</v>
      </c>
      <c r="L129" s="2" t="n">
        <f aca="false">1+K129</f>
        <v>0.997511704487152</v>
      </c>
      <c r="N129" s="1" t="n">
        <f aca="false">Analysis!$C$35*G129+Analysis!$C$36*I129</f>
        <v>-0.00344450294715287</v>
      </c>
      <c r="O129" s="1" t="n">
        <f aca="false">B129+Analysis!$C$42*N129</f>
        <v>0.0112304892898702</v>
      </c>
      <c r="P129" s="2" t="n">
        <f aca="false">1+O129</f>
        <v>1.01123048928987</v>
      </c>
    </row>
    <row r="130" customFormat="false" ht="15" hidden="false" customHeight="false" outlineLevel="0" collapsed="false">
      <c r="A130" s="6" t="n">
        <v>29830</v>
      </c>
      <c r="B130" s="1" t="n">
        <v>0.0124</v>
      </c>
      <c r="C130" s="1" t="n">
        <v>-0.0595</v>
      </c>
      <c r="D130" s="1" t="n">
        <v>-0.0198</v>
      </c>
      <c r="E130" s="1" t="n">
        <v>-0.0681</v>
      </c>
      <c r="G130" s="1" t="n">
        <f aca="false">C130-$B130</f>
        <v>-0.0719</v>
      </c>
      <c r="I130" s="1" t="n">
        <f aca="false">D130-E130</f>
        <v>0.0483</v>
      </c>
      <c r="K130" s="1" t="n">
        <f aca="false">(1-Analysis!$C$21)*B130 + Analysis!$C$21*C130</f>
        <v>-0.00325852489136473</v>
      </c>
      <c r="L130" s="2" t="n">
        <f aca="false">1+K130</f>
        <v>0.996741475108635</v>
      </c>
      <c r="N130" s="1" t="n">
        <f aca="false">Analysis!$C$35*G130+Analysis!$C$36*I130</f>
        <v>-0.000953839560104121</v>
      </c>
      <c r="O130" s="1" t="n">
        <f aca="false">B130+Analysis!$C$42*N130</f>
        <v>0.0119653766513493</v>
      </c>
      <c r="P130" s="2" t="n">
        <f aca="false">1+O130</f>
        <v>1.01196537665135</v>
      </c>
    </row>
    <row r="131" customFormat="false" ht="15" hidden="false" customHeight="false" outlineLevel="0" collapsed="false">
      <c r="A131" s="6" t="n">
        <v>29860</v>
      </c>
      <c r="B131" s="1" t="n">
        <v>0.0121</v>
      </c>
      <c r="C131" s="1" t="n">
        <v>0.0613</v>
      </c>
      <c r="D131" s="1" t="n">
        <v>0.0466</v>
      </c>
      <c r="E131" s="1" t="n">
        <v>0.0834</v>
      </c>
      <c r="G131" s="1" t="n">
        <f aca="false">C131-$B131</f>
        <v>0.0492</v>
      </c>
      <c r="I131" s="1" t="n">
        <f aca="false">D131-E131</f>
        <v>-0.0368</v>
      </c>
      <c r="K131" s="1" t="n">
        <f aca="false">(1-Analysis!$C$21)*B131 + Analysis!$C$21*C131</f>
        <v>0.0228148737782357</v>
      </c>
      <c r="L131" s="2" t="n">
        <f aca="false">1+K131</f>
        <v>1.02281487377824</v>
      </c>
      <c r="N131" s="1" t="n">
        <f aca="false">Analysis!$C$35*G131+Analysis!$C$36*I131</f>
        <v>-0.00156014806847792</v>
      </c>
      <c r="O131" s="1" t="n">
        <f aca="false">B131+Analysis!$C$42*N131</f>
        <v>0.0113891081411649</v>
      </c>
      <c r="P131" s="2" t="n">
        <f aca="false">1+O131</f>
        <v>1.01138910814117</v>
      </c>
    </row>
    <row r="132" customFormat="false" ht="15" hidden="false" customHeight="false" outlineLevel="0" collapsed="false">
      <c r="A132" s="6" t="n">
        <v>29891</v>
      </c>
      <c r="B132" s="1" t="n">
        <v>0.0107</v>
      </c>
      <c r="C132" s="1" t="n">
        <v>0.0447</v>
      </c>
      <c r="D132" s="1" t="n">
        <v>0.0424</v>
      </c>
      <c r="E132" s="1" t="n">
        <v>0.0377</v>
      </c>
      <c r="G132" s="1" t="n">
        <f aca="false">C132-$B132</f>
        <v>0.034</v>
      </c>
      <c r="I132" s="1" t="n">
        <f aca="false">D132-E132</f>
        <v>0.0047</v>
      </c>
      <c r="K132" s="1" t="n">
        <f aca="false">(1-Analysis!$C$21)*B132 + Analysis!$C$21*C132</f>
        <v>0.0181045875703255</v>
      </c>
      <c r="L132" s="2" t="n">
        <f aca="false">1+K132</f>
        <v>1.01810458757033</v>
      </c>
      <c r="N132" s="1" t="n">
        <f aca="false">Analysis!$C$35*G132+Analysis!$C$36*I132</f>
        <v>0.0167061355999255</v>
      </c>
      <c r="O132" s="1" t="n">
        <f aca="false">B132+Analysis!$C$42*N132</f>
        <v>0.0183122619580387</v>
      </c>
      <c r="P132" s="2" t="n">
        <f aca="false">1+O132</f>
        <v>1.01831226195804</v>
      </c>
    </row>
    <row r="133" customFormat="false" ht="15" hidden="false" customHeight="false" outlineLevel="0" collapsed="false">
      <c r="A133" s="6" t="n">
        <v>29921</v>
      </c>
      <c r="B133" s="1" t="n">
        <v>0.0087</v>
      </c>
      <c r="C133" s="1" t="n">
        <v>-0.0276</v>
      </c>
      <c r="D133" s="1" t="n">
        <v>-0.0227</v>
      </c>
      <c r="E133" s="1" t="n">
        <v>-0.0301</v>
      </c>
      <c r="G133" s="1" t="n">
        <f aca="false">C133-$B133</f>
        <v>-0.0363</v>
      </c>
      <c r="I133" s="1" t="n">
        <f aca="false">D133-E133</f>
        <v>0.0074</v>
      </c>
      <c r="K133" s="1" t="n">
        <f aca="false">(1-Analysis!$C$21)*B133 + Analysis!$C$21*C133</f>
        <v>0.000794513858740755</v>
      </c>
      <c r="L133" s="2" t="n">
        <f aca="false">1+K133</f>
        <v>1.00079451385874</v>
      </c>
      <c r="N133" s="1" t="n">
        <f aca="false">Analysis!$C$35*G133+Analysis!$C$36*I133</f>
        <v>-0.0105067619698548</v>
      </c>
      <c r="O133" s="1" t="n">
        <f aca="false">B133+Analysis!$C$42*N133</f>
        <v>0.00391252392769693</v>
      </c>
      <c r="P133" s="2" t="n">
        <f aca="false">1+O133</f>
        <v>1.0039125239277</v>
      </c>
    </row>
    <row r="134" customFormat="false" ht="15" hidden="false" customHeight="false" outlineLevel="0" collapsed="false">
      <c r="A134" s="6" t="n">
        <v>29952</v>
      </c>
      <c r="B134" s="1" t="n">
        <v>0.008</v>
      </c>
      <c r="C134" s="1" t="n">
        <v>-0.0243</v>
      </c>
      <c r="D134" s="1" t="n">
        <v>0.002</v>
      </c>
      <c r="E134" s="1" t="n">
        <v>-0.0229</v>
      </c>
      <c r="G134" s="1" t="n">
        <f aca="false">C134-$B134</f>
        <v>-0.0323</v>
      </c>
      <c r="I134" s="1" t="n">
        <f aca="false">D134-E134</f>
        <v>0.0249</v>
      </c>
      <c r="K134" s="1" t="n">
        <f aca="false">(1-Analysis!$C$21)*B134 + Analysis!$C$21*C134</f>
        <v>0.000965641808190809</v>
      </c>
      <c r="L134" s="2" t="n">
        <f aca="false">1+K134</f>
        <v>1.00096564180819</v>
      </c>
      <c r="N134" s="1" t="n">
        <f aca="false">Analysis!$C$35*G134+Analysis!$C$36*I134</f>
        <v>0.00146140080833648</v>
      </c>
      <c r="O134" s="1" t="n">
        <f aca="false">B134+Analysis!$C$42*N134</f>
        <v>0.00866589701204128</v>
      </c>
      <c r="P134" s="2" t="n">
        <f aca="false">1+O134</f>
        <v>1.00866589701204</v>
      </c>
    </row>
    <row r="135" customFormat="false" ht="15" hidden="false" customHeight="false" outlineLevel="0" collapsed="false">
      <c r="A135" s="6" t="n">
        <v>29983</v>
      </c>
      <c r="B135" s="1" t="n">
        <v>0.0092</v>
      </c>
      <c r="C135" s="1" t="n">
        <v>-0.0494</v>
      </c>
      <c r="D135" s="1" t="n">
        <v>-0.0169</v>
      </c>
      <c r="E135" s="1" t="n">
        <v>-0.0738</v>
      </c>
      <c r="G135" s="1" t="n">
        <f aca="false">C135-$B135</f>
        <v>-0.0586</v>
      </c>
      <c r="I135" s="1" t="n">
        <f aca="false">D135-E135</f>
        <v>0.0569</v>
      </c>
      <c r="K135" s="1" t="n">
        <f aca="false">(1-Analysis!$C$21)*B135 + Analysis!$C$21*C135</f>
        <v>-0.0035620244594433</v>
      </c>
      <c r="L135" s="2" t="n">
        <f aca="false">1+K135</f>
        <v>0.996437975540557</v>
      </c>
      <c r="N135" s="1" t="n">
        <f aca="false">Analysis!$C$35*G135+Analysis!$C$36*I135</f>
        <v>0.00957205932452557</v>
      </c>
      <c r="O135" s="1" t="n">
        <f aca="false">B135+Analysis!$C$42*N135</f>
        <v>0.0135615725863317</v>
      </c>
      <c r="P135" s="2" t="n">
        <f aca="false">1+O135</f>
        <v>1.01356157258633</v>
      </c>
    </row>
    <row r="136" customFormat="false" ht="15" hidden="false" customHeight="false" outlineLevel="0" collapsed="false">
      <c r="A136" s="6" t="n">
        <v>30011</v>
      </c>
      <c r="B136" s="1" t="n">
        <v>0.0098</v>
      </c>
      <c r="C136" s="1" t="n">
        <v>-0.0084</v>
      </c>
      <c r="D136" s="1" t="n">
        <v>0.0183</v>
      </c>
      <c r="E136" s="1" t="n">
        <v>-0.0192</v>
      </c>
      <c r="G136" s="1" t="n">
        <f aca="false">C136-$B136</f>
        <v>-0.0182</v>
      </c>
      <c r="I136" s="1" t="n">
        <f aca="false">D136-E136</f>
        <v>0.0375</v>
      </c>
      <c r="K136" s="1" t="n">
        <f aca="false">(1-Analysis!$C$21)*B136 + Analysis!$C$21*C136</f>
        <v>0.00583636783000225</v>
      </c>
      <c r="L136" s="2" t="n">
        <f aca="false">1+K136</f>
        <v>1.00583636783</v>
      </c>
      <c r="N136" s="1" t="n">
        <f aca="false">Analysis!$C$35*G136+Analysis!$C$36*I136</f>
        <v>0.0146760493885374</v>
      </c>
      <c r="O136" s="1" t="n">
        <f aca="false">B136+Analysis!$C$42*N136</f>
        <v>0.0164872396543435</v>
      </c>
      <c r="P136" s="2" t="n">
        <f aca="false">1+O136</f>
        <v>1.01648723965434</v>
      </c>
    </row>
    <row r="137" customFormat="false" ht="15" hidden="false" customHeight="false" outlineLevel="0" collapsed="false">
      <c r="A137" s="6" t="n">
        <v>30042</v>
      </c>
      <c r="B137" s="1" t="n">
        <v>0.0113</v>
      </c>
      <c r="C137" s="1" t="n">
        <v>0.0437</v>
      </c>
      <c r="D137" s="1" t="n">
        <v>0.0247</v>
      </c>
      <c r="E137" s="1" t="n">
        <v>0.0584</v>
      </c>
      <c r="G137" s="1" t="n">
        <f aca="false">C137-$B137</f>
        <v>0.0324</v>
      </c>
      <c r="I137" s="1" t="n">
        <f aca="false">D137-E137</f>
        <v>-0.0337</v>
      </c>
      <c r="K137" s="1" t="n">
        <f aca="false">(1-Analysis!$C$21)*B137 + Analysis!$C$21*C137</f>
        <v>0.0183561363905454</v>
      </c>
      <c r="L137" s="2" t="n">
        <f aca="false">1+K137</f>
        <v>1.01835613639055</v>
      </c>
      <c r="N137" s="1" t="n">
        <f aca="false">Analysis!$C$35*G137+Analysis!$C$36*I137</f>
        <v>-0.00661448589914407</v>
      </c>
      <c r="O137" s="1" t="n">
        <f aca="false">B137+Analysis!$C$42*N137</f>
        <v>0.00828606544398799</v>
      </c>
      <c r="P137" s="2" t="n">
        <f aca="false">1+O137</f>
        <v>1.00828606544399</v>
      </c>
    </row>
    <row r="138" customFormat="false" ht="15" hidden="false" customHeight="false" outlineLevel="0" collapsed="false">
      <c r="A138" s="6" t="n">
        <v>30072</v>
      </c>
      <c r="B138" s="1" t="n">
        <v>0.0106</v>
      </c>
      <c r="C138" s="1" t="n">
        <v>-0.0287</v>
      </c>
      <c r="D138" s="1" t="n">
        <v>-0.0195</v>
      </c>
      <c r="E138" s="1" t="n">
        <v>-0.0352</v>
      </c>
      <c r="G138" s="1" t="n">
        <f aca="false">C138-$B138</f>
        <v>-0.0393</v>
      </c>
      <c r="I138" s="1" t="n">
        <f aca="false">D138-E138</f>
        <v>0.0157</v>
      </c>
      <c r="K138" s="1" t="n">
        <f aca="false">(1-Analysis!$C$21)*B138 + Analysis!$C$21*C138</f>
        <v>0.00204116789665321</v>
      </c>
      <c r="L138" s="2" t="n">
        <f aca="false">1+K138</f>
        <v>1.00204116789665</v>
      </c>
      <c r="N138" s="1" t="n">
        <f aca="false">Analysis!$C$35*G138+Analysis!$C$36*I138</f>
        <v>-0.00683711460736877</v>
      </c>
      <c r="O138" s="1" t="n">
        <f aca="false">B138+Analysis!$C$42*N138</f>
        <v>0.00748462319025735</v>
      </c>
      <c r="P138" s="2" t="n">
        <f aca="false">1+O138</f>
        <v>1.00748462319026</v>
      </c>
    </row>
    <row r="139" customFormat="false" ht="15" hidden="false" customHeight="false" outlineLevel="0" collapsed="false">
      <c r="A139" s="6" t="n">
        <v>30103</v>
      </c>
      <c r="B139" s="1" t="n">
        <v>0.0096</v>
      </c>
      <c r="C139" s="1" t="n">
        <v>-0.0212</v>
      </c>
      <c r="D139" s="1" t="n">
        <v>-0.0167</v>
      </c>
      <c r="E139" s="1" t="n">
        <v>-0.0263</v>
      </c>
      <c r="G139" s="1" t="n">
        <f aca="false">C139-$B139</f>
        <v>-0.0308</v>
      </c>
      <c r="I139" s="1" t="n">
        <f aca="false">D139-E139</f>
        <v>0.0096</v>
      </c>
      <c r="K139" s="1" t="n">
        <f aca="false">(1-Analysis!$C$21)*B139 + Analysis!$C$21*C139</f>
        <v>0.00289231478923458</v>
      </c>
      <c r="L139" s="2" t="n">
        <f aca="false">1+K139</f>
        <v>1.00289231478923</v>
      </c>
      <c r="N139" s="1" t="n">
        <f aca="false">Analysis!$C$35*G139+Analysis!$C$36*I139</f>
        <v>-0.0069545350934127</v>
      </c>
      <c r="O139" s="1" t="n">
        <f aca="false">B139+Analysis!$C$42*N139</f>
        <v>0.00643111976370725</v>
      </c>
      <c r="P139" s="2" t="n">
        <f aca="false">1+O139</f>
        <v>1.00643111976371</v>
      </c>
    </row>
    <row r="140" customFormat="false" ht="15" hidden="false" customHeight="false" outlineLevel="0" collapsed="false">
      <c r="A140" s="6" t="n">
        <v>30133</v>
      </c>
      <c r="B140" s="1" t="n">
        <v>0.0105</v>
      </c>
      <c r="C140" s="1" t="n">
        <v>-0.0215</v>
      </c>
      <c r="D140" s="1" t="n">
        <v>-0.0178</v>
      </c>
      <c r="E140" s="1" t="n">
        <v>-0.0093</v>
      </c>
      <c r="G140" s="1" t="n">
        <f aca="false">C140-$B140</f>
        <v>-0.032</v>
      </c>
      <c r="I140" s="1" t="n">
        <f aca="false">D140-E140</f>
        <v>-0.0085</v>
      </c>
      <c r="K140" s="1" t="n">
        <f aca="false">(1-Analysis!$C$21)*B140 + Analysis!$C$21*C140</f>
        <v>0.00353097640439956</v>
      </c>
      <c r="L140" s="2" t="n">
        <f aca="false">1+K140</f>
        <v>1.0035309764044</v>
      </c>
      <c r="N140" s="1" t="n">
        <f aca="false">Analysis!$C$35*G140+Analysis!$C$36*I140</f>
        <v>-0.0181294944231485</v>
      </c>
      <c r="O140" s="1" t="n">
        <f aca="false">B140+Analysis!$C$42*N140</f>
        <v>0.00223917511381725</v>
      </c>
      <c r="P140" s="2" t="n">
        <f aca="false">1+O140</f>
        <v>1.00223917511382</v>
      </c>
    </row>
    <row r="141" customFormat="false" ht="15" hidden="false" customHeight="false" outlineLevel="0" collapsed="false">
      <c r="A141" s="6" t="n">
        <v>30164</v>
      </c>
      <c r="B141" s="1" t="n">
        <v>0.0076</v>
      </c>
      <c r="C141" s="1" t="n">
        <v>0.1199</v>
      </c>
      <c r="D141" s="1" t="n">
        <v>0.1287</v>
      </c>
      <c r="E141" s="1" t="n">
        <v>0.1091</v>
      </c>
      <c r="G141" s="1" t="n">
        <f aca="false">C141-$B141</f>
        <v>0.1123</v>
      </c>
      <c r="I141" s="1" t="n">
        <f aca="false">D141-E141</f>
        <v>0.0196</v>
      </c>
      <c r="K141" s="1" t="n">
        <f aca="false">(1-Analysis!$C$21)*B141 + Analysis!$C$21*C141</f>
        <v>0.0320569171808103</v>
      </c>
      <c r="L141" s="2" t="n">
        <f aca="false">1+K141</f>
        <v>1.03205691718081</v>
      </c>
      <c r="N141" s="1" t="n">
        <f aca="false">Analysis!$C$35*G141+Analysis!$C$36*I141</f>
        <v>0.0575852822564197</v>
      </c>
      <c r="O141" s="1" t="n">
        <f aca="false">B141+Analysis!$C$42*N141</f>
        <v>0.0338391174093799</v>
      </c>
      <c r="P141" s="2" t="n">
        <f aca="false">1+O141</f>
        <v>1.03383911740938</v>
      </c>
    </row>
    <row r="142" customFormat="false" ht="15" hidden="false" customHeight="false" outlineLevel="0" collapsed="false">
      <c r="A142" s="6" t="n">
        <v>30195</v>
      </c>
      <c r="B142" s="1" t="n">
        <v>0.0051</v>
      </c>
      <c r="C142" s="1" t="n">
        <v>0.0182</v>
      </c>
      <c r="D142" s="1" t="n">
        <v>0.0065</v>
      </c>
      <c r="E142" s="1" t="n">
        <v>0.0203</v>
      </c>
      <c r="G142" s="1" t="n">
        <f aca="false">C142-$B142</f>
        <v>0.0131</v>
      </c>
      <c r="I142" s="1" t="n">
        <f aca="false">D142-E142</f>
        <v>-0.0138</v>
      </c>
      <c r="K142" s="1" t="n">
        <f aca="false">(1-Analysis!$C$21)*B142 + Analysis!$C$21*C142</f>
        <v>0.00795294403444893</v>
      </c>
      <c r="L142" s="2" t="n">
        <f aca="false">1+K142</f>
        <v>1.00795294403445</v>
      </c>
      <c r="N142" s="1" t="n">
        <f aca="false">Analysis!$C$35*G142+Analysis!$C$36*I142</f>
        <v>-0.002777302128396</v>
      </c>
      <c r="O142" s="1" t="n">
        <f aca="false">B142+Analysis!$C$42*N142</f>
        <v>0.00383450378685642</v>
      </c>
      <c r="P142" s="2" t="n">
        <f aca="false">1+O142</f>
        <v>1.00383450378686</v>
      </c>
    </row>
    <row r="143" customFormat="false" ht="15" hidden="false" customHeight="false" outlineLevel="0" collapsed="false">
      <c r="A143" s="6" t="n">
        <v>30225</v>
      </c>
      <c r="B143" s="1" t="n">
        <v>0.0059</v>
      </c>
      <c r="C143" s="1" t="n">
        <v>0.1189</v>
      </c>
      <c r="D143" s="1" t="n">
        <v>0.0995</v>
      </c>
      <c r="E143" s="1" t="n">
        <v>0.1323</v>
      </c>
      <c r="G143" s="1" t="n">
        <f aca="false">C143-$B143</f>
        <v>0.113</v>
      </c>
      <c r="I143" s="1" t="n">
        <f aca="false">D143-E143</f>
        <v>-0.0328</v>
      </c>
      <c r="K143" s="1" t="n">
        <f aca="false">(1-Analysis!$C$21)*B143 + Analysis!$C$21*C143</f>
        <v>0.030509364571964</v>
      </c>
      <c r="L143" s="2" t="n">
        <f aca="false">1+K143</f>
        <v>1.03050936457196</v>
      </c>
      <c r="N143" s="1" t="n">
        <f aca="false">Analysis!$C$35*G143+Analysis!$C$36*I143</f>
        <v>0.026943841995534</v>
      </c>
      <c r="O143" s="1" t="n">
        <f aca="false">B143+Analysis!$C$42*N143</f>
        <v>0.0181771410658802</v>
      </c>
      <c r="P143" s="2" t="n">
        <f aca="false">1+O143</f>
        <v>1.01817714106588</v>
      </c>
    </row>
    <row r="144" customFormat="false" ht="15" hidden="false" customHeight="false" outlineLevel="0" collapsed="false">
      <c r="A144" s="6" t="n">
        <v>30256</v>
      </c>
      <c r="B144" s="1" t="n">
        <v>0.0063</v>
      </c>
      <c r="C144" s="1" t="n">
        <v>0.0531</v>
      </c>
      <c r="D144" s="1" t="n">
        <v>0.0468</v>
      </c>
      <c r="E144" s="1" t="n">
        <v>0.075</v>
      </c>
      <c r="G144" s="1" t="n">
        <f aca="false">C144-$B144</f>
        <v>0.0468</v>
      </c>
      <c r="I144" s="1" t="n">
        <f aca="false">D144-E144</f>
        <v>-0.0282</v>
      </c>
      <c r="K144" s="1" t="n">
        <f aca="false">(1-Analysis!$C$21)*B144 + Analysis!$C$21*C144</f>
        <v>0.0164921970085656</v>
      </c>
      <c r="L144" s="2" t="n">
        <f aca="false">1+K144</f>
        <v>1.01649219700857</v>
      </c>
      <c r="N144" s="1" t="n">
        <f aca="false">Analysis!$C$35*G144+Analysis!$C$36*I144</f>
        <v>0.00253242901004832</v>
      </c>
      <c r="O144" s="1" t="n">
        <f aca="false">B144+Analysis!$C$42*N144</f>
        <v>0.00745391814578055</v>
      </c>
      <c r="P144" s="2" t="n">
        <f aca="false">1+O144</f>
        <v>1.00745391814578</v>
      </c>
    </row>
    <row r="145" customFormat="false" ht="15" hidden="false" customHeight="false" outlineLevel="0" collapsed="false">
      <c r="A145" s="6" t="n">
        <v>30286</v>
      </c>
      <c r="B145" s="1" t="n">
        <v>0.0067</v>
      </c>
      <c r="C145" s="1" t="n">
        <v>0.0123</v>
      </c>
      <c r="D145" s="1" t="n">
        <v>0.0148</v>
      </c>
      <c r="E145" s="1" t="n">
        <v>0.0117</v>
      </c>
      <c r="G145" s="1" t="n">
        <f aca="false">C145-$B145</f>
        <v>0.0056</v>
      </c>
      <c r="I145" s="1" t="n">
        <f aca="false">D145-E145</f>
        <v>0.0031</v>
      </c>
      <c r="K145" s="1" t="n">
        <f aca="false">(1-Analysis!$C$21)*B145 + Analysis!$C$21*C145</f>
        <v>0.00791957912923008</v>
      </c>
      <c r="L145" s="2" t="n">
        <f aca="false">1+K145</f>
        <v>1.00791957912923</v>
      </c>
      <c r="N145" s="1" t="n">
        <f aca="false">Analysis!$C$35*G145+Analysis!$C$36*I145</f>
        <v>0.00412441430033494</v>
      </c>
      <c r="O145" s="1" t="n">
        <f aca="false">B145+Analysis!$C$42*N145</f>
        <v>0.00857931684678595</v>
      </c>
      <c r="P145" s="2" t="n">
        <f aca="false">1+O145</f>
        <v>1.00857931684679</v>
      </c>
    </row>
    <row r="146" customFormat="false" ht="15" hidden="false" customHeight="false" outlineLevel="0" collapsed="false">
      <c r="A146" s="6" t="n">
        <v>30317</v>
      </c>
      <c r="B146" s="1" t="n">
        <v>0.0069</v>
      </c>
      <c r="C146" s="1" t="n">
        <v>0.0428</v>
      </c>
      <c r="D146" s="1" t="n">
        <v>0.0581</v>
      </c>
      <c r="E146" s="1" t="n">
        <v>0.0371</v>
      </c>
      <c r="G146" s="1" t="n">
        <f aca="false">C146-$B146</f>
        <v>0.0359</v>
      </c>
      <c r="I146" s="1" t="n">
        <f aca="false">D146-E146</f>
        <v>0.021</v>
      </c>
      <c r="K146" s="1" t="n">
        <f aca="false">(1-Analysis!$C$21)*B146 + Analysis!$C$21*C146</f>
        <v>0.0147183733463142</v>
      </c>
      <c r="L146" s="2" t="n">
        <f aca="false">1+K146</f>
        <v>1.01471837334631</v>
      </c>
      <c r="N146" s="1" t="n">
        <f aca="false">Analysis!$C$35*G146+Analysis!$C$36*I146</f>
        <v>0.0271055092299963</v>
      </c>
      <c r="O146" s="1" t="n">
        <f aca="false">B146+Analysis!$C$42*N146</f>
        <v>0.0192508058180545</v>
      </c>
      <c r="P146" s="2" t="n">
        <f aca="false">1+O146</f>
        <v>1.01925080581805</v>
      </c>
    </row>
    <row r="147" customFormat="false" ht="15" hidden="false" customHeight="false" outlineLevel="0" collapsed="false">
      <c r="A147" s="6" t="n">
        <v>30348</v>
      </c>
      <c r="B147" s="1" t="n">
        <v>0.0062</v>
      </c>
      <c r="C147" s="1" t="n">
        <v>0.0321</v>
      </c>
      <c r="D147" s="1" t="n">
        <v>0.0286</v>
      </c>
      <c r="E147" s="1" t="n">
        <v>0.0373</v>
      </c>
      <c r="G147" s="1" t="n">
        <f aca="false">C147-$B147</f>
        <v>0.0259</v>
      </c>
      <c r="I147" s="1" t="n">
        <f aca="false">D147-E147</f>
        <v>-0.0087</v>
      </c>
      <c r="K147" s="1" t="n">
        <f aca="false">(1-Analysis!$C$21)*B147 + Analysis!$C$21*C147</f>
        <v>0.0118405534726891</v>
      </c>
      <c r="L147" s="2" t="n">
        <f aca="false">1+K147</f>
        <v>1.01184055347269</v>
      </c>
      <c r="N147" s="1" t="n">
        <f aca="false">Analysis!$C$35*G147+Analysis!$C$36*I147</f>
        <v>0.00547789391663563</v>
      </c>
      <c r="O147" s="1" t="n">
        <f aca="false">B147+Analysis!$C$42*N147</f>
        <v>0.00869603884886239</v>
      </c>
      <c r="P147" s="2" t="n">
        <f aca="false">1+O147</f>
        <v>1.00869603884886</v>
      </c>
    </row>
    <row r="148" customFormat="false" ht="15" hidden="false" customHeight="false" outlineLevel="0" collapsed="false">
      <c r="A148" s="6" t="n">
        <v>30376</v>
      </c>
      <c r="B148" s="1" t="n">
        <v>0.0063</v>
      </c>
      <c r="C148" s="1" t="n">
        <v>0.0344</v>
      </c>
      <c r="D148" s="1" t="n">
        <v>0.0342</v>
      </c>
      <c r="E148" s="1" t="n">
        <v>0.0252</v>
      </c>
      <c r="G148" s="1" t="n">
        <f aca="false">C148-$B148</f>
        <v>0.0281</v>
      </c>
      <c r="I148" s="1" t="n">
        <f aca="false">D148-E148</f>
        <v>0.009</v>
      </c>
      <c r="K148" s="1" t="n">
        <f aca="false">(1-Analysis!$C$21)*B148 + Analysis!$C$21*C148</f>
        <v>0.0124196738448866</v>
      </c>
      <c r="L148" s="2" t="n">
        <f aca="false">1+K148</f>
        <v>1.01241967384489</v>
      </c>
      <c r="N148" s="1" t="n">
        <f aca="false">Analysis!$C$35*G148+Analysis!$C$36*I148</f>
        <v>0.016826525254559</v>
      </c>
      <c r="O148" s="1" t="n">
        <f aca="false">B148+Analysis!$C$42*N148</f>
        <v>0.0139671183060329</v>
      </c>
      <c r="P148" s="2" t="n">
        <f aca="false">1+O148</f>
        <v>1.01396711830603</v>
      </c>
    </row>
    <row r="149" customFormat="false" ht="15" hidden="false" customHeight="false" outlineLevel="0" collapsed="false">
      <c r="A149" s="6" t="n">
        <v>30407</v>
      </c>
      <c r="B149" s="1" t="n">
        <v>0.0071</v>
      </c>
      <c r="C149" s="1" t="n">
        <v>0.0737</v>
      </c>
      <c r="D149" s="1" t="n">
        <v>0.072</v>
      </c>
      <c r="E149" s="1" t="n">
        <v>0.0604</v>
      </c>
      <c r="G149" s="1" t="n">
        <f aca="false">C149-$B149</f>
        <v>0.0666</v>
      </c>
      <c r="I149" s="1" t="n">
        <f aca="false">D149-E149</f>
        <v>0.0116</v>
      </c>
      <c r="K149" s="1" t="n">
        <f aca="false">(1-Analysis!$C$21)*B149 + Analysis!$C$21*C149</f>
        <v>0.0216042803583434</v>
      </c>
      <c r="L149" s="2" t="n">
        <f aca="false">1+K149</f>
        <v>1.02160428035834</v>
      </c>
      <c r="N149" s="1" t="n">
        <f aca="false">Analysis!$C$35*G149+Analysis!$C$36*I149</f>
        <v>0.0341371146073688</v>
      </c>
      <c r="O149" s="1" t="n">
        <f aca="false">B149+Analysis!$C$42*N149</f>
        <v>0.0226548036425635</v>
      </c>
      <c r="P149" s="2" t="n">
        <f aca="false">1+O149</f>
        <v>1.02265480364256</v>
      </c>
    </row>
    <row r="150" customFormat="false" ht="15" hidden="false" customHeight="false" outlineLevel="0" collapsed="false">
      <c r="A150" s="6" t="n">
        <v>30437</v>
      </c>
      <c r="B150" s="1" t="n">
        <v>0.0069</v>
      </c>
      <c r="C150" s="1" t="n">
        <v>0.012</v>
      </c>
      <c r="D150" s="1" t="n">
        <v>0.006</v>
      </c>
      <c r="E150" s="1" t="n">
        <v>0.0112</v>
      </c>
      <c r="G150" s="1" t="n">
        <f aca="false">C150-$B150</f>
        <v>0.0051</v>
      </c>
      <c r="I150" s="1" t="n">
        <f aca="false">D150-E150</f>
        <v>-0.0052</v>
      </c>
      <c r="K150" s="1" t="n">
        <f aca="false">(1-Analysis!$C$21)*B150 + Analysis!$C$21*C150</f>
        <v>0.00801068813554882</v>
      </c>
      <c r="L150" s="2" t="n">
        <f aca="false">1+K150</f>
        <v>1.00801068813555</v>
      </c>
      <c r="N150" s="1" t="n">
        <f aca="false">Analysis!$C$35*G150+Analysis!$C$36*I150</f>
        <v>-0.000979413082620029</v>
      </c>
      <c r="O150" s="1" t="n">
        <f aca="false">B150+Analysis!$C$42*N150</f>
        <v>0.00645372390548134</v>
      </c>
      <c r="P150" s="2" t="n">
        <f aca="false">1+O150</f>
        <v>1.00645372390548</v>
      </c>
    </row>
    <row r="151" customFormat="false" ht="15" hidden="false" customHeight="false" outlineLevel="0" collapsed="false">
      <c r="A151" s="6" t="n">
        <v>30468</v>
      </c>
      <c r="B151" s="1" t="n">
        <v>0.0067</v>
      </c>
      <c r="C151" s="1" t="n">
        <v>0.0374</v>
      </c>
      <c r="D151" s="1" t="n">
        <v>0.01</v>
      </c>
      <c r="E151" s="1" t="n">
        <v>0.0535</v>
      </c>
      <c r="G151" s="1" t="n">
        <f aca="false">C151-$B151</f>
        <v>0.0307</v>
      </c>
      <c r="I151" s="1" t="n">
        <f aca="false">D151-E151</f>
        <v>-0.0435</v>
      </c>
      <c r="K151" s="1" t="n">
        <f aca="false">(1-Analysis!$C$21)*B151 + Analysis!$C$21*C151</f>
        <v>0.0133859070120292</v>
      </c>
      <c r="L151" s="2" t="n">
        <f aca="false">1+K151</f>
        <v>1.01338590701203</v>
      </c>
      <c r="N151" s="1" t="n">
        <f aca="false">Analysis!$C$35*G151+Analysis!$C$36*I151</f>
        <v>-0.0130953835660589</v>
      </c>
      <c r="O151" s="1" t="n">
        <f aca="false">B151+Analysis!$C$42*N151</f>
        <v>0.000733001255761407</v>
      </c>
      <c r="P151" s="2" t="n">
        <f aca="false">1+O151</f>
        <v>1.00073300125576</v>
      </c>
    </row>
    <row r="152" customFormat="false" ht="15" hidden="false" customHeight="false" outlineLevel="0" collapsed="false">
      <c r="A152" s="6" t="n">
        <v>30498</v>
      </c>
      <c r="B152" s="1" t="n">
        <v>0.0074</v>
      </c>
      <c r="C152" s="1" t="n">
        <v>-0.0332</v>
      </c>
      <c r="D152" s="1" t="n">
        <v>-0.0081</v>
      </c>
      <c r="E152" s="1" t="n">
        <v>-0.053</v>
      </c>
      <c r="G152" s="1" t="n">
        <f aca="false">C152-$B152</f>
        <v>-0.0406</v>
      </c>
      <c r="I152" s="1" t="n">
        <f aca="false">D152-E152</f>
        <v>0.0449</v>
      </c>
      <c r="K152" s="1" t="n">
        <f aca="false">(1-Analysis!$C$21)*B152 + Analysis!$C$21*C152</f>
        <v>-0.00144194868691805</v>
      </c>
      <c r="L152" s="2" t="n">
        <f aca="false">1+K152</f>
        <v>0.998558051313082</v>
      </c>
      <c r="N152" s="1" t="n">
        <f aca="false">Analysis!$C$35*G152+Analysis!$C$36*I152</f>
        <v>0.0098650309285449</v>
      </c>
      <c r="O152" s="1" t="n">
        <f aca="false">B152+Analysis!$C$42*N152</f>
        <v>0.0118950670490531</v>
      </c>
      <c r="P152" s="2" t="n">
        <f aca="false">1+O152</f>
        <v>1.01189506704905</v>
      </c>
    </row>
    <row r="153" customFormat="false" ht="15" hidden="false" customHeight="false" outlineLevel="0" collapsed="false">
      <c r="A153" s="6" t="n">
        <v>30529</v>
      </c>
      <c r="B153" s="1" t="n">
        <v>0.0076</v>
      </c>
      <c r="C153" s="1" t="n">
        <v>0.0026</v>
      </c>
      <c r="D153" s="1" t="n">
        <v>0.0457</v>
      </c>
      <c r="E153" s="1" t="n">
        <v>-0.0189</v>
      </c>
      <c r="G153" s="1" t="n">
        <f aca="false">C153-$B153</f>
        <v>-0.005</v>
      </c>
      <c r="I153" s="1" t="n">
        <f aca="false">D153-E153</f>
        <v>0.0646</v>
      </c>
      <c r="K153" s="1" t="n">
        <f aca="false">(1-Analysis!$C$21)*B153 + Analysis!$C$21*C153</f>
        <v>0.00651109006318743</v>
      </c>
      <c r="L153" s="2" t="n">
        <f aca="false">1+K153</f>
        <v>1.00651109006319</v>
      </c>
      <c r="N153" s="1" t="n">
        <f aca="false">Analysis!$C$35*G153+Analysis!$C$36*I153</f>
        <v>0.0360803058786751</v>
      </c>
      <c r="O153" s="1" t="n">
        <f aca="false">B153+Analysis!$C$42*N153</f>
        <v>0.0240402316880431</v>
      </c>
      <c r="P153" s="2" t="n">
        <f aca="false">1+O153</f>
        <v>1.02404023168804</v>
      </c>
    </row>
    <row r="154" customFormat="false" ht="15" hidden="false" customHeight="false" outlineLevel="0" collapsed="false">
      <c r="A154" s="6" t="n">
        <v>30560</v>
      </c>
      <c r="B154" s="1" t="n">
        <v>0.0076</v>
      </c>
      <c r="C154" s="1" t="n">
        <v>0.0168</v>
      </c>
      <c r="D154" s="1" t="n">
        <v>0.0121</v>
      </c>
      <c r="E154" s="1" t="n">
        <v>0.0217</v>
      </c>
      <c r="G154" s="1" t="n">
        <f aca="false">C154-$B154</f>
        <v>0.0092</v>
      </c>
      <c r="I154" s="1" t="n">
        <f aca="false">D154-E154</f>
        <v>-0.0096</v>
      </c>
      <c r="K154" s="1" t="n">
        <f aca="false">(1-Analysis!$C$21)*B154 + Analysis!$C$21*C154</f>
        <v>0.00960359428373513</v>
      </c>
      <c r="L154" s="2" t="n">
        <f aca="false">1+K154</f>
        <v>1.00960359428374</v>
      </c>
      <c r="N154" s="1" t="n">
        <f aca="false">Analysis!$C$35*G154+Analysis!$C$36*I154</f>
        <v>-0.00189640446148122</v>
      </c>
      <c r="O154" s="1" t="n">
        <f aca="false">B154+Analysis!$C$42*N154</f>
        <v>0.00673589067604283</v>
      </c>
      <c r="P154" s="2" t="n">
        <f aca="false">1+O154</f>
        <v>1.00673589067604</v>
      </c>
    </row>
    <row r="155" customFormat="false" ht="15" hidden="false" customHeight="false" outlineLevel="0" collapsed="false">
      <c r="A155" s="6" t="n">
        <v>30590</v>
      </c>
      <c r="B155" s="1" t="n">
        <v>0.0076</v>
      </c>
      <c r="C155" s="1" t="n">
        <v>-0.0267</v>
      </c>
      <c r="D155" s="1" t="n">
        <v>-0.0062</v>
      </c>
      <c r="E155" s="1" t="n">
        <v>-0.0439</v>
      </c>
      <c r="G155" s="1" t="n">
        <f aca="false">C155-$B155</f>
        <v>-0.0343</v>
      </c>
      <c r="I155" s="1" t="n">
        <f aca="false">D155-E155</f>
        <v>0.0377</v>
      </c>
      <c r="K155" s="1" t="n">
        <f aca="false">(1-Analysis!$C$21)*B155 + Analysis!$C$21*C155</f>
        <v>0.000130077833465782</v>
      </c>
      <c r="L155" s="2" t="n">
        <f aca="false">1+K155</f>
        <v>1.00013007783347</v>
      </c>
      <c r="N155" s="1" t="n">
        <f aca="false">Analysis!$C$35*G155+Analysis!$C$36*I155</f>
        <v>0.0081968681503536</v>
      </c>
      <c r="O155" s="1" t="n">
        <f aca="false">B155+Analysis!$C$42*N155</f>
        <v>0.0113349575683005</v>
      </c>
      <c r="P155" s="2" t="n">
        <f aca="false">1+O155</f>
        <v>1.0113349575683</v>
      </c>
    </row>
    <row r="156" customFormat="false" ht="15" hidden="false" customHeight="false" outlineLevel="0" collapsed="false">
      <c r="A156" s="6" t="n">
        <v>30621</v>
      </c>
      <c r="B156" s="1" t="n">
        <v>0.007</v>
      </c>
      <c r="C156" s="1" t="n">
        <v>0.0287</v>
      </c>
      <c r="D156" s="1" t="n">
        <v>0.0221</v>
      </c>
      <c r="E156" s="1" t="n">
        <v>0.0317</v>
      </c>
      <c r="G156" s="1" t="n">
        <f aca="false">C156-$B156</f>
        <v>0.0217</v>
      </c>
      <c r="I156" s="1" t="n">
        <f aca="false">D156-E156</f>
        <v>-0.0096</v>
      </c>
      <c r="K156" s="1" t="n">
        <f aca="false">(1-Analysis!$C$21)*B156 + Analysis!$C$21*C156</f>
        <v>0.0117258691257665</v>
      </c>
      <c r="L156" s="2" t="n">
        <f aca="false">1+K156</f>
        <v>1.01172586912577</v>
      </c>
      <c r="N156" s="1" t="n">
        <f aca="false">Analysis!$C$35*G156+Analysis!$C$36*I156</f>
        <v>0.0032256670401935</v>
      </c>
      <c r="O156" s="1" t="n">
        <f aca="false">B156+Analysis!$C$42*N156</f>
        <v>0.00846979667155783</v>
      </c>
      <c r="P156" s="2" t="n">
        <f aca="false">1+O156</f>
        <v>1.00846979667156</v>
      </c>
    </row>
    <row r="157" customFormat="false" ht="15" hidden="false" customHeight="false" outlineLevel="0" collapsed="false">
      <c r="A157" s="6" t="n">
        <v>30651</v>
      </c>
      <c r="B157" s="1" t="n">
        <v>0.0073</v>
      </c>
      <c r="C157" s="1" t="n">
        <v>-0.0104</v>
      </c>
      <c r="D157" s="1" t="n">
        <v>-0.006</v>
      </c>
      <c r="E157" s="1" t="n">
        <v>-0.0113</v>
      </c>
      <c r="G157" s="1" t="n">
        <f aca="false">C157-$B157</f>
        <v>-0.0177</v>
      </c>
      <c r="I157" s="1" t="n">
        <f aca="false">D157-E157</f>
        <v>0.0053</v>
      </c>
      <c r="K157" s="1" t="n">
        <f aca="false">(1-Analysis!$C$21)*B157 + Analysis!$C$21*C157</f>
        <v>0.00344525882368351</v>
      </c>
      <c r="L157" s="2" t="n">
        <f aca="false">1+K157</f>
        <v>1.00344525882368</v>
      </c>
      <c r="N157" s="1" t="n">
        <f aca="false">Analysis!$C$35*G157+Analysis!$C$36*I157</f>
        <v>-0.00412461156308149</v>
      </c>
      <c r="O157" s="1" t="n">
        <f aca="false">B157+Analysis!$C$42*N157</f>
        <v>0.00542059326912971</v>
      </c>
      <c r="P157" s="2" t="n">
        <f aca="false">1+O157</f>
        <v>1.00542059326913</v>
      </c>
    </row>
    <row r="158" customFormat="false" ht="15" hidden="false" customHeight="false" outlineLevel="0" collapsed="false">
      <c r="A158" s="6" t="n">
        <v>30682</v>
      </c>
      <c r="B158" s="1" t="n">
        <v>0.0076</v>
      </c>
      <c r="C158" s="1" t="n">
        <v>-0.0116</v>
      </c>
      <c r="D158" s="1" t="n">
        <v>0.0325</v>
      </c>
      <c r="E158" s="1" t="n">
        <v>-0.0514</v>
      </c>
      <c r="G158" s="1" t="n">
        <f aca="false">C158-$B158</f>
        <v>-0.0192</v>
      </c>
      <c r="I158" s="1" t="n">
        <f aca="false">D158-E158</f>
        <v>0.0839</v>
      </c>
      <c r="K158" s="1" t="n">
        <f aca="false">(1-Analysis!$C$21)*B158 + Analysis!$C$21*C158</f>
        <v>0.00341858584263974</v>
      </c>
      <c r="L158" s="2" t="n">
        <f aca="false">1+K158</f>
        <v>1.00341858584264</v>
      </c>
      <c r="N158" s="1" t="n">
        <f aca="false">Analysis!$C$35*G158+Analysis!$C$36*I158</f>
        <v>0.0416531542541869</v>
      </c>
      <c r="O158" s="1" t="n">
        <f aca="false">B158+Analysis!$C$42*N158</f>
        <v>0.0265795371685406</v>
      </c>
      <c r="P158" s="2" t="n">
        <f aca="false">1+O158</f>
        <v>1.02657953716854</v>
      </c>
    </row>
    <row r="159" customFormat="false" ht="15" hidden="false" customHeight="false" outlineLevel="0" collapsed="false">
      <c r="A159" s="6" t="n">
        <v>30713</v>
      </c>
      <c r="B159" s="1" t="n">
        <v>0.0071</v>
      </c>
      <c r="C159" s="1" t="n">
        <v>-0.0406</v>
      </c>
      <c r="D159" s="1" t="n">
        <v>-0.0163</v>
      </c>
      <c r="E159" s="1" t="n">
        <v>-0.051</v>
      </c>
      <c r="G159" s="1" t="n">
        <f aca="false">C159-$B159</f>
        <v>-0.0477</v>
      </c>
      <c r="I159" s="1" t="n">
        <f aca="false">D159-E159</f>
        <v>0.0347</v>
      </c>
      <c r="K159" s="1" t="n">
        <f aca="false">(1-Analysis!$C$21)*B159 + Analysis!$C$21*C159</f>
        <v>-0.0032882007971919</v>
      </c>
      <c r="L159" s="2" t="n">
        <f aca="false">1+K159</f>
        <v>0.996711799202808</v>
      </c>
      <c r="N159" s="1" t="n">
        <f aca="false">Analysis!$C$35*G159+Analysis!$C$36*I159</f>
        <v>0.000935304660960232</v>
      </c>
      <c r="O159" s="1" t="n">
        <f aca="false">B159+Analysis!$C$42*N159</f>
        <v>0.00752617779840334</v>
      </c>
      <c r="P159" s="2" t="n">
        <f aca="false">1+O159</f>
        <v>1.0075261777984</v>
      </c>
    </row>
    <row r="160" customFormat="false" ht="15" hidden="false" customHeight="false" outlineLevel="0" collapsed="false">
      <c r="A160" s="6" t="n">
        <v>30742</v>
      </c>
      <c r="B160" s="1" t="n">
        <v>0.0073</v>
      </c>
      <c r="C160" s="1" t="n">
        <v>0.0138</v>
      </c>
      <c r="D160" s="1" t="n">
        <v>0.007</v>
      </c>
      <c r="E160" s="1" t="n">
        <v>0.014</v>
      </c>
      <c r="G160" s="1" t="n">
        <f aca="false">C160-$B160</f>
        <v>0.0065</v>
      </c>
      <c r="I160" s="1" t="n">
        <f aca="false">D160-E160</f>
        <v>-0.007</v>
      </c>
      <c r="K160" s="1" t="n">
        <f aca="false">(1-Analysis!$C$21)*B160 + Analysis!$C$21*C160</f>
        <v>0.00871558291785634</v>
      </c>
      <c r="L160" s="2" t="n">
        <f aca="false">1+K160</f>
        <v>1.00871558291786</v>
      </c>
      <c r="N160" s="1" t="n">
        <f aca="false">Analysis!$C$35*G160+Analysis!$C$36*I160</f>
        <v>-0.0014681627781913</v>
      </c>
      <c r="O160" s="1" t="n">
        <f aca="false">B160+Analysis!$C$42*N160</f>
        <v>0.00663102185135598</v>
      </c>
      <c r="P160" s="2" t="n">
        <f aca="false">1+O160</f>
        <v>1.00663102185136</v>
      </c>
    </row>
    <row r="161" customFormat="false" ht="15" hidden="false" customHeight="false" outlineLevel="0" collapsed="false">
      <c r="A161" s="6" t="n">
        <v>30773</v>
      </c>
      <c r="B161" s="1" t="n">
        <v>0.0081</v>
      </c>
      <c r="C161" s="1" t="n">
        <v>0.003</v>
      </c>
      <c r="D161" s="1" t="n">
        <v>0.015</v>
      </c>
      <c r="E161" s="1" t="n">
        <v>0.002</v>
      </c>
      <c r="G161" s="1" t="n">
        <f aca="false">C161-$B161</f>
        <v>-0.0051</v>
      </c>
      <c r="I161" s="1" t="n">
        <f aca="false">D161-E161</f>
        <v>0.013</v>
      </c>
      <c r="K161" s="1" t="n">
        <f aca="false">(1-Analysis!$C$21)*B161 + Analysis!$C$21*C161</f>
        <v>0.00698931186445118</v>
      </c>
      <c r="L161" s="2" t="n">
        <f aca="false">1+K161</f>
        <v>1.00698931186445</v>
      </c>
      <c r="N161" s="1" t="n">
        <f aca="false">Analysis!$C$35*G161+Analysis!$C$36*I161</f>
        <v>0.005583240465575</v>
      </c>
      <c r="O161" s="1" t="n">
        <f aca="false">B161+Analysis!$C$42*N161</f>
        <v>0.0106440407055518</v>
      </c>
      <c r="P161" s="2" t="n">
        <f aca="false">1+O161</f>
        <v>1.01064404070555</v>
      </c>
    </row>
    <row r="162" customFormat="false" ht="15" hidden="false" customHeight="false" outlineLevel="0" collapsed="false">
      <c r="A162" s="6" t="n">
        <v>30803</v>
      </c>
      <c r="B162" s="1" t="n">
        <v>0.0078</v>
      </c>
      <c r="C162" s="1" t="n">
        <v>-0.052</v>
      </c>
      <c r="D162" s="1" t="n">
        <v>-0.0576</v>
      </c>
      <c r="E162" s="1" t="n">
        <v>-0.05</v>
      </c>
      <c r="G162" s="1" t="n">
        <f aca="false">C162-$B162</f>
        <v>-0.0598</v>
      </c>
      <c r="I162" s="1" t="n">
        <f aca="false">D162-E162</f>
        <v>-0.0076</v>
      </c>
      <c r="K162" s="1" t="n">
        <f aca="false">(1-Analysis!$C$21)*B162 + Analysis!$C$21*C162</f>
        <v>-0.00522336284427832</v>
      </c>
      <c r="L162" s="2" t="n">
        <f aca="false">1+K162</f>
        <v>0.994776637155722</v>
      </c>
      <c r="N162" s="1" t="n">
        <f aca="false">Analysis!$C$35*G162+Analysis!$C$36*I162</f>
        <v>-0.0289897705909936</v>
      </c>
      <c r="O162" s="1" t="n">
        <f aca="false">B162+Analysis!$C$42*N162</f>
        <v>-0.00540938205739659</v>
      </c>
      <c r="P162" s="2" t="n">
        <f aca="false">1+O162</f>
        <v>0.994590617942603</v>
      </c>
    </row>
    <row r="163" customFormat="false" ht="15" hidden="false" customHeight="false" outlineLevel="0" collapsed="false">
      <c r="A163" s="6" t="n">
        <v>30834</v>
      </c>
      <c r="B163" s="1" t="n">
        <v>0.0075</v>
      </c>
      <c r="C163" s="1" t="n">
        <v>0.0256</v>
      </c>
      <c r="D163" s="1" t="n">
        <v>0.0236</v>
      </c>
      <c r="E163" s="1" t="n">
        <v>0.0444</v>
      </c>
      <c r="G163" s="1" t="n">
        <f aca="false">C163-$B163</f>
        <v>0.0181</v>
      </c>
      <c r="I163" s="1" t="n">
        <f aca="false">D163-E163</f>
        <v>-0.0208</v>
      </c>
      <c r="K163" s="1" t="n">
        <f aca="false">(1-Analysis!$C$21)*B163 + Analysis!$C$21*C163</f>
        <v>0.0114418539712615</v>
      </c>
      <c r="L163" s="2" t="n">
        <f aca="false">1+K163</f>
        <v>1.01144185397126</v>
      </c>
      <c r="N163" s="1" t="n">
        <f aca="false">Analysis!$C$35*G163+Analysis!$C$36*I163</f>
        <v>-0.00486011348678827</v>
      </c>
      <c r="O163" s="1" t="n">
        <f aca="false">B163+Analysis!$C$42*N163</f>
        <v>0.00528545691875061</v>
      </c>
      <c r="P163" s="2" t="n">
        <f aca="false">1+O163</f>
        <v>1.00528545691875</v>
      </c>
    </row>
    <row r="164" customFormat="false" ht="15" hidden="false" customHeight="false" outlineLevel="0" collapsed="false">
      <c r="A164" s="6" t="n">
        <v>30864</v>
      </c>
      <c r="B164" s="1" t="n">
        <v>0.0082</v>
      </c>
      <c r="C164" s="1" t="n">
        <v>-0.019</v>
      </c>
      <c r="D164" s="1" t="n">
        <v>-0.0253</v>
      </c>
      <c r="E164" s="1" t="n">
        <v>-0.0185</v>
      </c>
      <c r="G164" s="1" t="n">
        <f aca="false">C164-$B164</f>
        <v>-0.0272</v>
      </c>
      <c r="I164" s="1" t="n">
        <f aca="false">D164-E164</f>
        <v>-0.0068</v>
      </c>
      <c r="K164" s="1" t="n">
        <f aca="false">(1-Analysis!$C$21)*B164 + Analysis!$C$21*C164</f>
        <v>0.00227632994373963</v>
      </c>
      <c r="L164" s="2" t="n">
        <f aca="false">1+K164</f>
        <v>1.00227632994374</v>
      </c>
      <c r="N164" s="1" t="n">
        <f aca="false">Analysis!$C$35*G164+Analysis!$C$36*I164</f>
        <v>-0.0151592206907331</v>
      </c>
      <c r="O164" s="1" t="n">
        <f aca="false">B164+Analysis!$C$42*N164</f>
        <v>0.00129260012362788</v>
      </c>
      <c r="P164" s="2" t="n">
        <f aca="false">1+O164</f>
        <v>1.00129260012363</v>
      </c>
    </row>
    <row r="165" customFormat="false" ht="15" hidden="false" customHeight="false" outlineLevel="0" collapsed="false">
      <c r="A165" s="6" t="n">
        <v>30895</v>
      </c>
      <c r="B165" s="1" t="n">
        <v>0.0083</v>
      </c>
      <c r="C165" s="1" t="n">
        <v>0.111</v>
      </c>
      <c r="D165" s="1" t="n">
        <v>0.1137</v>
      </c>
      <c r="E165" s="1" t="n">
        <v>0.1155</v>
      </c>
      <c r="G165" s="1" t="n">
        <f aca="false">C165-$B165</f>
        <v>0.1027</v>
      </c>
      <c r="I165" s="1" t="n">
        <f aca="false">D165-E165</f>
        <v>-0.00180000000000001</v>
      </c>
      <c r="K165" s="1" t="n">
        <f aca="false">(1-Analysis!$C$21)*B165 + Analysis!$C$21*C165</f>
        <v>0.0306662101021302</v>
      </c>
      <c r="L165" s="2" t="n">
        <f aca="false">1+K165</f>
        <v>1.03066621010213</v>
      </c>
      <c r="N165" s="1" t="n">
        <f aca="false">Analysis!$C$35*G165+Analysis!$C$36*I165</f>
        <v>0.0410205177540007</v>
      </c>
      <c r="O165" s="1" t="n">
        <f aca="false">B165+Analysis!$C$42*N165</f>
        <v>0.0269912721335282</v>
      </c>
      <c r="P165" s="2" t="n">
        <f aca="false">1+O165</f>
        <v>1.02699127213353</v>
      </c>
    </row>
    <row r="166" customFormat="false" ht="15" hidden="false" customHeight="false" outlineLevel="0" collapsed="false">
      <c r="A166" s="6" t="n">
        <v>30926</v>
      </c>
      <c r="B166" s="1" t="n">
        <v>0.0086</v>
      </c>
      <c r="C166" s="1" t="n">
        <v>0.0006</v>
      </c>
      <c r="D166" s="1" t="n">
        <v>0.0309</v>
      </c>
      <c r="E166" s="1" t="n">
        <v>-0.024</v>
      </c>
      <c r="G166" s="1" t="n">
        <f aca="false">C166-$B166</f>
        <v>-0.008</v>
      </c>
      <c r="I166" s="1" t="n">
        <f aca="false">D166-E166</f>
        <v>0.0549</v>
      </c>
      <c r="K166" s="1" t="n">
        <f aca="false">(1-Analysis!$C$21)*B166 + Analysis!$C$21*C166</f>
        <v>0.00685774410109989</v>
      </c>
      <c r="L166" s="2" t="n">
        <f aca="false">1+K166</f>
        <v>1.0068577441011</v>
      </c>
      <c r="N166" s="1" t="n">
        <f aca="false">Analysis!$C$35*G166+Analysis!$C$36*I166</f>
        <v>0.0291257362035728</v>
      </c>
      <c r="O166" s="1" t="n">
        <f aca="false">B166+Analysis!$C$42*N166</f>
        <v>0.0218713356943731</v>
      </c>
      <c r="P166" s="2" t="n">
        <f aca="false">1+O166</f>
        <v>1.02187133569437</v>
      </c>
    </row>
    <row r="167" customFormat="false" ht="15" hidden="false" customHeight="false" outlineLevel="0" collapsed="false">
      <c r="A167" s="6" t="n">
        <v>30956</v>
      </c>
      <c r="B167" s="1" t="n">
        <v>0.01</v>
      </c>
      <c r="C167" s="1" t="n">
        <v>0.0016</v>
      </c>
      <c r="D167" s="1" t="n">
        <v>-0.0043</v>
      </c>
      <c r="E167" s="1" t="n">
        <v>0.0017</v>
      </c>
      <c r="G167" s="1" t="n">
        <f aca="false">C167-$B167</f>
        <v>-0.0084</v>
      </c>
      <c r="I167" s="1" t="n">
        <f aca="false">D167-E167</f>
        <v>-0.006</v>
      </c>
      <c r="K167" s="1" t="n">
        <f aca="false">(1-Analysis!$C$21)*B167 + Analysis!$C$21*C167</f>
        <v>0.00817063130615489</v>
      </c>
      <c r="L167" s="2" t="n">
        <f aca="false">1+K167</f>
        <v>1.00817063130616</v>
      </c>
      <c r="N167" s="1" t="n">
        <f aca="false">Analysis!$C$35*G167+Analysis!$C$36*I167</f>
        <v>-0.00698343772832155</v>
      </c>
      <c r="O167" s="1" t="n">
        <f aca="false">B167+Analysis!$C$42*N167</f>
        <v>0.00681795008560379</v>
      </c>
      <c r="P167" s="2" t="n">
        <f aca="false">1+O167</f>
        <v>1.0068179500856</v>
      </c>
    </row>
    <row r="168" customFormat="false" ht="15" hidden="false" customHeight="false" outlineLevel="0" collapsed="false">
      <c r="A168" s="6" t="n">
        <v>30987</v>
      </c>
      <c r="B168" s="1" t="n">
        <v>0.0073</v>
      </c>
      <c r="C168" s="1" t="n">
        <v>-0.0104</v>
      </c>
      <c r="D168" s="1" t="n">
        <v>0.0084</v>
      </c>
      <c r="E168" s="1" t="n">
        <v>-0.0264</v>
      </c>
      <c r="G168" s="1" t="n">
        <f aca="false">C168-$B168</f>
        <v>-0.0177</v>
      </c>
      <c r="I168" s="1" t="n">
        <f aca="false">D168-E168</f>
        <v>0.0348</v>
      </c>
      <c r="K168" s="1" t="n">
        <f aca="false">(1-Analysis!$C$21)*B168 + Analysis!$C$21*C168</f>
        <v>0.00344525882368351</v>
      </c>
      <c r="L168" s="2" t="n">
        <f aca="false">1+K168</f>
        <v>1.00344525882368</v>
      </c>
      <c r="N168" s="1" t="n">
        <f aca="false">Analysis!$C$35*G168+Analysis!$C$36*I168</f>
        <v>0.0132872996929662</v>
      </c>
      <c r="O168" s="1" t="n">
        <f aca="false">B168+Analysis!$C$42*N168</f>
        <v>0.0133544466057295</v>
      </c>
      <c r="P168" s="2" t="n">
        <f aca="false">1+O168</f>
        <v>1.01335444660573</v>
      </c>
    </row>
    <row r="169" customFormat="false" ht="15" hidden="false" customHeight="false" outlineLevel="0" collapsed="false">
      <c r="A169" s="6" t="n">
        <v>31017</v>
      </c>
      <c r="B169" s="1" t="n">
        <v>0.0064</v>
      </c>
      <c r="C169" s="1" t="n">
        <v>0.0249</v>
      </c>
      <c r="D169" s="1" t="n">
        <v>0.0225</v>
      </c>
      <c r="E169" s="1" t="n">
        <v>0.0258</v>
      </c>
      <c r="G169" s="1" t="n">
        <f aca="false">C169-$B169</f>
        <v>0.0185</v>
      </c>
      <c r="I169" s="1" t="n">
        <f aca="false">D169-E169</f>
        <v>-0.0033</v>
      </c>
      <c r="K169" s="1" t="n">
        <f aca="false">(1-Analysis!$C$21)*B169 + Analysis!$C$21*C169</f>
        <v>0.0104289667662065</v>
      </c>
      <c r="L169" s="2" t="n">
        <f aca="false">1+K169</f>
        <v>1.01042896676621</v>
      </c>
      <c r="N169" s="1" t="n">
        <f aca="false">Analysis!$C$35*G169+Analysis!$C$36*I169</f>
        <v>0.00563289269892071</v>
      </c>
      <c r="O169" s="1" t="n">
        <f aca="false">B169+Analysis!$C$42*N169</f>
        <v>0.00896666507638663</v>
      </c>
      <c r="P169" s="2" t="n">
        <f aca="false">1+O169</f>
        <v>1.00896666507639</v>
      </c>
    </row>
    <row r="170" customFormat="false" ht="15" hidden="false" customHeight="false" outlineLevel="0" collapsed="false">
      <c r="A170" s="6" t="n">
        <v>31048</v>
      </c>
      <c r="B170" s="1" t="n">
        <v>0.0065</v>
      </c>
      <c r="C170" s="1" t="n">
        <v>0.0862</v>
      </c>
      <c r="D170" s="1" t="n">
        <v>0.0601</v>
      </c>
      <c r="E170" s="1" t="n">
        <v>0.1096</v>
      </c>
      <c r="G170" s="1" t="n">
        <f aca="false">C170-$B170</f>
        <v>0.0797</v>
      </c>
      <c r="I170" s="1" t="n">
        <f aca="false">D170-E170</f>
        <v>-0.0495</v>
      </c>
      <c r="K170" s="1" t="n">
        <f aca="false">(1-Analysis!$C$21)*B170 + Analysis!$C$21*C170</f>
        <v>0.0238572243927923</v>
      </c>
      <c r="L170" s="2" t="n">
        <f aca="false">1+K170</f>
        <v>1.02385722439279</v>
      </c>
      <c r="N170" s="1" t="n">
        <f aca="false">Analysis!$C$35*G170+Analysis!$C$36*I170</f>
        <v>0.00344173104130992</v>
      </c>
      <c r="O170" s="1" t="n">
        <f aca="false">B170+Analysis!$C$42*N170</f>
        <v>0.00806824767277007</v>
      </c>
      <c r="P170" s="2" t="n">
        <f aca="false">1+O170</f>
        <v>1.00806824767277</v>
      </c>
    </row>
    <row r="171" customFormat="false" ht="15" hidden="false" customHeight="false" outlineLevel="0" collapsed="false">
      <c r="A171" s="6" t="n">
        <v>31079</v>
      </c>
      <c r="B171" s="1" t="n">
        <v>0.0058</v>
      </c>
      <c r="C171" s="1" t="n">
        <v>0.018</v>
      </c>
      <c r="D171" s="1" t="n">
        <v>0.0213</v>
      </c>
      <c r="E171" s="1" t="n">
        <v>0.0161</v>
      </c>
      <c r="G171" s="1" t="n">
        <f aca="false">C171-$B171</f>
        <v>0.0122</v>
      </c>
      <c r="I171" s="1" t="n">
        <f aca="false">D171-E171</f>
        <v>0.0052</v>
      </c>
      <c r="K171" s="1" t="n">
        <f aca="false">(1-Analysis!$C$21)*B171 + Analysis!$C$21*C171</f>
        <v>0.00845694024582267</v>
      </c>
      <c r="L171" s="2" t="n">
        <f aca="false">1+K171</f>
        <v>1.00845694024582</v>
      </c>
      <c r="N171" s="1" t="n">
        <f aca="false">Analysis!$C$35*G171+Analysis!$C$36*I171</f>
        <v>0.00806836004093784</v>
      </c>
      <c r="O171" s="1" t="n">
        <f aca="false">B171+Analysis!$C$42*N171</f>
        <v>0.00947640199231142</v>
      </c>
      <c r="P171" s="2" t="n">
        <f aca="false">1+O171</f>
        <v>1.00947640199231</v>
      </c>
    </row>
    <row r="172" customFormat="false" ht="15" hidden="false" customHeight="false" outlineLevel="0" collapsed="false">
      <c r="A172" s="6" t="n">
        <v>31107</v>
      </c>
      <c r="B172" s="1" t="n">
        <v>0.0062</v>
      </c>
      <c r="C172" s="1" t="n">
        <v>-0.0021</v>
      </c>
      <c r="D172" s="1" t="n">
        <v>0.0207</v>
      </c>
      <c r="E172" s="1" t="n">
        <v>-0.0166</v>
      </c>
      <c r="G172" s="1" t="n">
        <f aca="false">C172-$B172</f>
        <v>-0.0083</v>
      </c>
      <c r="I172" s="1" t="n">
        <f aca="false">D172-E172</f>
        <v>0.0373</v>
      </c>
      <c r="K172" s="1" t="n">
        <f aca="false">(1-Analysis!$C$21)*B172 + Analysis!$C$21*C172</f>
        <v>0.00439240950489114</v>
      </c>
      <c r="L172" s="2" t="n">
        <f aca="false">1+K172</f>
        <v>1.00439240950489</v>
      </c>
      <c r="N172" s="1" t="n">
        <f aca="false">Analysis!$C$35*G172+Analysis!$C$36*I172</f>
        <v>0.0186146831618906</v>
      </c>
      <c r="O172" s="1" t="n">
        <f aca="false">B172+Analysis!$C$42*N172</f>
        <v>0.014681904366611</v>
      </c>
      <c r="P172" s="2" t="n">
        <f aca="false">1+O172</f>
        <v>1.01468190436661</v>
      </c>
    </row>
    <row r="173" customFormat="false" ht="15" hidden="false" customHeight="false" outlineLevel="0" collapsed="false">
      <c r="A173" s="6" t="n">
        <v>31138</v>
      </c>
      <c r="B173" s="1" t="n">
        <v>0.0072</v>
      </c>
      <c r="C173" s="1" t="n">
        <v>-0.0024</v>
      </c>
      <c r="D173" s="1" t="n">
        <v>0.0185</v>
      </c>
      <c r="E173" s="1" t="n">
        <v>-0.0184</v>
      </c>
      <c r="G173" s="1" t="n">
        <f aca="false">C173-$B173</f>
        <v>-0.0096</v>
      </c>
      <c r="I173" s="1" t="n">
        <f aca="false">D173-E173</f>
        <v>0.0369</v>
      </c>
      <c r="K173" s="1" t="n">
        <f aca="false">(1-Analysis!$C$21)*B173 + Analysis!$C$21*C173</f>
        <v>0.00510929292131987</v>
      </c>
      <c r="L173" s="2" t="n">
        <f aca="false">1+K173</f>
        <v>1.00510929292132</v>
      </c>
      <c r="N173" s="1" t="n">
        <f aca="false">Analysis!$C$35*G173+Analysis!$C$36*I173</f>
        <v>0.01784589401377</v>
      </c>
      <c r="O173" s="1" t="n">
        <f aca="false">B173+Analysis!$C$42*N173</f>
        <v>0.0153316004707168</v>
      </c>
      <c r="P173" s="2" t="n">
        <f aca="false">1+O173</f>
        <v>1.01533160047072</v>
      </c>
    </row>
    <row r="174" customFormat="false" ht="15" hidden="false" customHeight="false" outlineLevel="0" collapsed="false">
      <c r="A174" s="6" t="n">
        <v>31168</v>
      </c>
      <c r="B174" s="1" t="n">
        <v>0.0066</v>
      </c>
      <c r="C174" s="1" t="n">
        <v>0.0573</v>
      </c>
      <c r="D174" s="1" t="n">
        <v>0.0495</v>
      </c>
      <c r="E174" s="1" t="n">
        <v>0.0578</v>
      </c>
      <c r="G174" s="1" t="n">
        <f aca="false">C174-$B174</f>
        <v>0.0507</v>
      </c>
      <c r="I174" s="1" t="n">
        <f aca="false">D174-E174</f>
        <v>-0.0083</v>
      </c>
      <c r="K174" s="1" t="n">
        <f aca="false">(1-Analysis!$C$21)*B174 + Analysis!$C$21*C174</f>
        <v>0.0176415467592794</v>
      </c>
      <c r="L174" s="2" t="n">
        <f aca="false">1+K174</f>
        <v>1.01764154675928</v>
      </c>
      <c r="N174" s="1" t="n">
        <f aca="false">Analysis!$C$35*G174+Analysis!$C$36*I174</f>
        <v>0.0158761774879047</v>
      </c>
      <c r="O174" s="1" t="n">
        <f aca="false">B174+Analysis!$C$42*N174</f>
        <v>0.0138340860163248</v>
      </c>
      <c r="P174" s="2" t="n">
        <f aca="false">1+O174</f>
        <v>1.01383408601632</v>
      </c>
    </row>
    <row r="175" customFormat="false" ht="15" hidden="false" customHeight="false" outlineLevel="0" collapsed="false">
      <c r="A175" s="6" t="n">
        <v>31199</v>
      </c>
      <c r="B175" s="1" t="n">
        <v>0.0055</v>
      </c>
      <c r="C175" s="1" t="n">
        <v>0.0182</v>
      </c>
      <c r="D175" s="1" t="n">
        <v>0.015</v>
      </c>
      <c r="E175" s="1" t="n">
        <v>0.0148</v>
      </c>
      <c r="G175" s="1" t="n">
        <f aca="false">C175-$B175</f>
        <v>0.0127</v>
      </c>
      <c r="I175" s="1" t="n">
        <f aca="false">D175-E175</f>
        <v>0.000199999999999999</v>
      </c>
      <c r="K175" s="1" t="n">
        <f aca="false">(1-Analysis!$C$21)*B175 + Analysis!$C$21*C175</f>
        <v>0.00826583123950392</v>
      </c>
      <c r="L175" s="2" t="n">
        <f aca="false">1+K175</f>
        <v>1.0082658312395</v>
      </c>
      <c r="N175" s="1" t="n">
        <f aca="false">Analysis!$C$35*G175+Analysis!$C$36*I175</f>
        <v>0.00532207150167472</v>
      </c>
      <c r="O175" s="1" t="n">
        <f aca="false">B175+Analysis!$C$42*N175</f>
        <v>0.00792503732762358</v>
      </c>
      <c r="P175" s="2" t="n">
        <f aca="false">1+O175</f>
        <v>1.00792503732762</v>
      </c>
    </row>
    <row r="176" customFormat="false" ht="15" hidden="false" customHeight="false" outlineLevel="0" collapsed="false">
      <c r="A176" s="6" t="n">
        <v>31229</v>
      </c>
      <c r="B176" s="1" t="n">
        <v>0.0062</v>
      </c>
      <c r="C176" s="1" t="n">
        <v>-0.001</v>
      </c>
      <c r="D176" s="1" t="n">
        <v>-0.0119</v>
      </c>
      <c r="E176" s="1" t="n">
        <v>0.0061</v>
      </c>
      <c r="G176" s="1" t="n">
        <f aca="false">C176-$B176</f>
        <v>-0.0072</v>
      </c>
      <c r="I176" s="1" t="n">
        <f aca="false">D176-E176</f>
        <v>-0.018</v>
      </c>
      <c r="K176" s="1" t="n">
        <f aca="false">(1-Analysis!$C$21)*B176 + Analysis!$C$21*C176</f>
        <v>0.0046319696909899</v>
      </c>
      <c r="L176" s="2" t="n">
        <f aca="false">1+K176</f>
        <v>1.00463196969099</v>
      </c>
      <c r="N176" s="1" t="n">
        <f aca="false">Analysis!$C$35*G176+Analysis!$C$36*I176</f>
        <v>-0.013574530222553</v>
      </c>
      <c r="O176" s="1" t="n">
        <f aca="false">B176+Analysis!$C$42*N176</f>
        <v>1.4674890352972E-005</v>
      </c>
      <c r="P176" s="2" t="n">
        <f aca="false">1+O176</f>
        <v>1.00001467489035</v>
      </c>
    </row>
    <row r="177" customFormat="false" ht="15" hidden="false" customHeight="false" outlineLevel="0" collapsed="false">
      <c r="A177" s="6" t="n">
        <v>31260</v>
      </c>
      <c r="B177" s="1" t="n">
        <v>0.0055</v>
      </c>
      <c r="C177" s="1" t="n">
        <v>-0.0046</v>
      </c>
      <c r="D177" s="1" t="n">
        <v>0.0078</v>
      </c>
      <c r="E177" s="1" t="n">
        <v>-0.0163</v>
      </c>
      <c r="G177" s="1" t="n">
        <f aca="false">C177-$B177</f>
        <v>-0.0101</v>
      </c>
      <c r="I177" s="1" t="n">
        <f aca="false">D177-E177</f>
        <v>0.0241</v>
      </c>
      <c r="K177" s="1" t="n">
        <f aca="false">(1-Analysis!$C$21)*B177 + Analysis!$C$21*C177</f>
        <v>0.00330040192763861</v>
      </c>
      <c r="L177" s="2" t="n">
        <f aca="false">1+K177</f>
        <v>1.00330040192764</v>
      </c>
      <c r="N177" s="1" t="n">
        <f aca="false">Analysis!$C$35*G177+Analysis!$C$36*I177</f>
        <v>0.010086012371418</v>
      </c>
      <c r="O177" s="1" t="n">
        <f aca="false">B177+Analysis!$C$42*N177</f>
        <v>0.0100957587153546</v>
      </c>
      <c r="P177" s="2" t="n">
        <f aca="false">1+O177</f>
        <v>1.01009575871535</v>
      </c>
    </row>
    <row r="178" customFormat="false" ht="15" hidden="false" customHeight="false" outlineLevel="0" collapsed="false">
      <c r="A178" s="6" t="n">
        <v>31291</v>
      </c>
      <c r="B178" s="1" t="n">
        <v>0.006</v>
      </c>
      <c r="C178" s="1" t="n">
        <v>-0.0391</v>
      </c>
      <c r="D178" s="1" t="n">
        <v>-0.0438</v>
      </c>
      <c r="E178" s="1" t="n">
        <v>-0.0434</v>
      </c>
      <c r="G178" s="1" t="n">
        <f aca="false">C178-$B178</f>
        <v>-0.0451</v>
      </c>
      <c r="I178" s="1" t="n">
        <f aca="false">D178-E178</f>
        <v>-0.000399999999999998</v>
      </c>
      <c r="K178" s="1" t="n">
        <f aca="false">(1-Analysis!$C$21)*B178 + Analysis!$C$21*C178</f>
        <v>-0.00382196763004937</v>
      </c>
      <c r="L178" s="2" t="n">
        <f aca="false">1+K178</f>
        <v>0.996178032369951</v>
      </c>
      <c r="N178" s="1" t="n">
        <f aca="false">Analysis!$C$35*G178+Analysis!$C$36*I178</f>
        <v>-0.0187165276899888</v>
      </c>
      <c r="O178" s="1" t="n">
        <f aca="false">B178+Analysis!$C$42*N178</f>
        <v>-0.00252831050417879</v>
      </c>
      <c r="P178" s="2" t="n">
        <f aca="false">1+O178</f>
        <v>0.997471689495821</v>
      </c>
    </row>
    <row r="179" customFormat="false" ht="15" hidden="false" customHeight="false" outlineLevel="0" collapsed="false">
      <c r="A179" s="6" t="n">
        <v>31321</v>
      </c>
      <c r="B179" s="1" t="n">
        <v>0.0065</v>
      </c>
      <c r="C179" s="1" t="n">
        <v>0.0465</v>
      </c>
      <c r="D179" s="1" t="n">
        <v>0.053</v>
      </c>
      <c r="E179" s="1" t="n">
        <v>0.0396</v>
      </c>
      <c r="G179" s="1" t="n">
        <f aca="false">C179-$B179</f>
        <v>0.04</v>
      </c>
      <c r="I179" s="1" t="n">
        <f aca="false">D179-E179</f>
        <v>0.0134</v>
      </c>
      <c r="K179" s="1" t="n">
        <f aca="false">(1-Analysis!$C$21)*B179 + Analysis!$C$21*C179</f>
        <v>0.0152112794945005</v>
      </c>
      <c r="L179" s="2" t="n">
        <f aca="false">1+K179</f>
        <v>1.0152112794945</v>
      </c>
      <c r="N179" s="1" t="n">
        <f aca="false">Analysis!$C$35*G179+Analysis!$C$36*I179</f>
        <v>0.0242997681555638</v>
      </c>
      <c r="O179" s="1" t="n">
        <f aca="false">B179+Analysis!$C$42*N179</f>
        <v>0.0175723512097306</v>
      </c>
      <c r="P179" s="2" t="n">
        <f aca="false">1+O179</f>
        <v>1.01757235120973</v>
      </c>
    </row>
    <row r="180" customFormat="false" ht="15" hidden="false" customHeight="false" outlineLevel="0" collapsed="false">
      <c r="A180" s="6" t="n">
        <v>31352</v>
      </c>
      <c r="B180" s="1" t="n">
        <v>0.0061</v>
      </c>
      <c r="C180" s="1" t="n">
        <v>0.0707</v>
      </c>
      <c r="D180" s="1" t="n">
        <v>0.0486</v>
      </c>
      <c r="E180" s="1" t="n">
        <v>0.0887</v>
      </c>
      <c r="G180" s="1" t="n">
        <f aca="false">C180-$B180</f>
        <v>0.0646</v>
      </c>
      <c r="I180" s="1" t="n">
        <f aca="false">D180-E180</f>
        <v>-0.0401</v>
      </c>
      <c r="K180" s="1" t="n">
        <f aca="false">(1-Analysis!$C$21)*B180 + Analysis!$C$21*C180</f>
        <v>0.0201687163836184</v>
      </c>
      <c r="L180" s="2" t="n">
        <f aca="false">1+K180</f>
        <v>1.02016871638362</v>
      </c>
      <c r="N180" s="1" t="n">
        <f aca="false">Analysis!$C$35*G180+Analysis!$C$36*I180</f>
        <v>0.00280247089802748</v>
      </c>
      <c r="O180" s="1" t="n">
        <f aca="false">B180+Analysis!$C$42*N180</f>
        <v>0.00737696453066383</v>
      </c>
      <c r="P180" s="2" t="n">
        <f aca="false">1+O180</f>
        <v>1.00737696453066</v>
      </c>
    </row>
    <row r="181" customFormat="false" ht="15" hidden="false" customHeight="false" outlineLevel="0" collapsed="false">
      <c r="A181" s="6" t="n">
        <v>31382</v>
      </c>
      <c r="B181" s="1" t="n">
        <v>0.0065</v>
      </c>
      <c r="C181" s="1" t="n">
        <v>0.0453</v>
      </c>
      <c r="D181" s="1" t="n">
        <v>0.0433</v>
      </c>
      <c r="E181" s="1" t="n">
        <v>0.0559</v>
      </c>
      <c r="G181" s="1" t="n">
        <f aca="false">C181-$B181</f>
        <v>0.0388</v>
      </c>
      <c r="I181" s="1" t="n">
        <f aca="false">D181-E181</f>
        <v>-0.0126</v>
      </c>
      <c r="K181" s="1" t="n">
        <f aca="false">(1-Analysis!$C$21)*B181 + Analysis!$C$21*C181</f>
        <v>0.0149499411096655</v>
      </c>
      <c r="L181" s="2" t="n">
        <f aca="false">1+K181</f>
        <v>1.01494994110967</v>
      </c>
      <c r="N181" s="1" t="n">
        <f aca="false">Analysis!$C$35*G181+Analysis!$C$36*I181</f>
        <v>0.00846195801488646</v>
      </c>
      <c r="O181" s="1" t="n">
        <f aca="false">B181+Analysis!$C$42*N181</f>
        <v>0.0103557475307173</v>
      </c>
      <c r="P181" s="2" t="n">
        <f aca="false">1+O181</f>
        <v>1.01035574753072</v>
      </c>
    </row>
    <row r="182" customFormat="false" ht="15" hidden="false" customHeight="false" outlineLevel="0" collapsed="false">
      <c r="A182" s="6" t="n">
        <v>31413</v>
      </c>
      <c r="B182" s="1" t="n">
        <v>0.0056</v>
      </c>
      <c r="C182" s="1" t="n">
        <v>0.0121</v>
      </c>
      <c r="D182" s="1" t="n">
        <v>0.0163</v>
      </c>
      <c r="E182" s="1" t="n">
        <v>0.0101</v>
      </c>
      <c r="G182" s="1" t="n">
        <f aca="false">C182-$B182</f>
        <v>0.0065</v>
      </c>
      <c r="I182" s="1" t="n">
        <f aca="false">D182-E182</f>
        <v>0.0062</v>
      </c>
      <c r="K182" s="1" t="n">
        <f aca="false">(1-Analysis!$C$21)*B182 + Analysis!$C$21*C182</f>
        <v>0.00701558291785634</v>
      </c>
      <c r="L182" s="2" t="n">
        <f aca="false">1+K182</f>
        <v>1.00701558291786</v>
      </c>
      <c r="N182" s="1" t="n">
        <f aca="false">Analysis!$C$35*G182+Analysis!$C$36*I182</f>
        <v>0.00632292971604019</v>
      </c>
      <c r="O182" s="1" t="n">
        <f aca="false">B182+Analysis!$C$42*N182</f>
        <v>0.00848108503925827</v>
      </c>
      <c r="P182" s="2" t="n">
        <f aca="false">1+O182</f>
        <v>1.00848108503926</v>
      </c>
    </row>
    <row r="183" customFormat="false" ht="15" hidden="false" customHeight="false" outlineLevel="0" collapsed="false">
      <c r="A183" s="6" t="n">
        <v>31444</v>
      </c>
      <c r="B183" s="1" t="n">
        <v>0.0053</v>
      </c>
      <c r="C183" s="1" t="n">
        <v>0.0767</v>
      </c>
      <c r="D183" s="1" t="n">
        <v>0.069</v>
      </c>
      <c r="E183" s="1" t="n">
        <v>0.0786</v>
      </c>
      <c r="G183" s="1" t="n">
        <f aca="false">C183-$B183</f>
        <v>0.0714</v>
      </c>
      <c r="I183" s="1" t="n">
        <f aca="false">D183-E183</f>
        <v>-0.0096</v>
      </c>
      <c r="K183" s="1" t="n">
        <f aca="false">(1-Analysis!$C$21)*B183 + Analysis!$C$21*C183</f>
        <v>0.0208496338976835</v>
      </c>
      <c r="L183" s="2" t="n">
        <f aca="false">1+K183</f>
        <v>1.02084963389768</v>
      </c>
      <c r="N183" s="1" t="n">
        <f aca="false">Analysis!$C$35*G183+Analysis!$C$36*I183</f>
        <v>0.0235910233308522</v>
      </c>
      <c r="O183" s="1" t="n">
        <f aca="false">B183+Analysis!$C$42*N183</f>
        <v>0.0160494069097255</v>
      </c>
      <c r="P183" s="2" t="n">
        <f aca="false">1+O183</f>
        <v>1.01604940690973</v>
      </c>
    </row>
    <row r="184" customFormat="false" ht="15" hidden="false" customHeight="false" outlineLevel="0" collapsed="false">
      <c r="A184" s="6" t="n">
        <v>31472</v>
      </c>
      <c r="B184" s="1" t="n">
        <v>0.006</v>
      </c>
      <c r="C184" s="1" t="n">
        <v>0.0551</v>
      </c>
      <c r="D184" s="1" t="n">
        <v>0.0453</v>
      </c>
      <c r="E184" s="1" t="n">
        <v>0.0602</v>
      </c>
      <c r="G184" s="1" t="n">
        <f aca="false">C184-$B184</f>
        <v>0.0491</v>
      </c>
      <c r="I184" s="1" t="n">
        <f aca="false">D184-E184</f>
        <v>-0.0149</v>
      </c>
      <c r="K184" s="1" t="n">
        <f aca="false">(1-Analysis!$C$21)*B184 + Analysis!$C$21*C184</f>
        <v>0.0166930955794994</v>
      </c>
      <c r="L184" s="2" t="n">
        <f aca="false">1+K184</f>
        <v>1.0166930955795</v>
      </c>
      <c r="N184" s="1" t="n">
        <f aca="false">Analysis!$C$35*G184+Analysis!$C$36*I184</f>
        <v>0.0113250060885746</v>
      </c>
      <c r="O184" s="1" t="n">
        <f aca="false">B184+Analysis!$C$42*N184</f>
        <v>0.0111603144549478</v>
      </c>
      <c r="P184" s="2" t="n">
        <f aca="false">1+O184</f>
        <v>1.01116031445495</v>
      </c>
    </row>
    <row r="185" customFormat="false" ht="15" hidden="false" customHeight="false" outlineLevel="0" collapsed="false">
      <c r="A185" s="6" t="n">
        <v>31503</v>
      </c>
      <c r="B185" s="1" t="n">
        <v>0.0052</v>
      </c>
      <c r="C185" s="1" t="n">
        <v>-0.0076</v>
      </c>
      <c r="D185" s="1" t="n">
        <v>-0.0284</v>
      </c>
      <c r="E185" s="1" t="n">
        <v>0.0085</v>
      </c>
      <c r="G185" s="1" t="n">
        <f aca="false">C185-$B185</f>
        <v>-0.0128</v>
      </c>
      <c r="I185" s="1" t="n">
        <f aca="false">D185-E185</f>
        <v>-0.0369</v>
      </c>
      <c r="K185" s="1" t="n">
        <f aca="false">(1-Analysis!$C$21)*B185 + Analysis!$C$21*C185</f>
        <v>0.00241239056175983</v>
      </c>
      <c r="L185" s="2" t="n">
        <f aca="false">1+K185</f>
        <v>1.00241239056176</v>
      </c>
      <c r="N185" s="1" t="n">
        <f aca="false">Analysis!$C$35*G185+Analysis!$C$36*I185</f>
        <v>-0.0270246461447711</v>
      </c>
      <c r="O185" s="1" t="n">
        <f aca="false">B185+Analysis!$C$42*N185</f>
        <v>-0.00711396001467965</v>
      </c>
      <c r="P185" s="2" t="n">
        <f aca="false">1+O185</f>
        <v>0.99288603998532</v>
      </c>
    </row>
    <row r="186" customFormat="false" ht="15" hidden="false" customHeight="false" outlineLevel="0" collapsed="false">
      <c r="A186" s="6" t="n">
        <v>31533</v>
      </c>
      <c r="B186" s="1" t="n">
        <v>0.0049</v>
      </c>
      <c r="C186" s="1" t="n">
        <v>0.0511</v>
      </c>
      <c r="D186" s="1" t="n">
        <v>0.0487</v>
      </c>
      <c r="E186" s="1" t="n">
        <v>0.051</v>
      </c>
      <c r="G186" s="1" t="n">
        <f aca="false">C186-$B186</f>
        <v>0.0462</v>
      </c>
      <c r="I186" s="1" t="n">
        <f aca="false">D186-E186</f>
        <v>-0.0023</v>
      </c>
      <c r="K186" s="1" t="n">
        <f aca="false">(1-Analysis!$C$21)*B186 + Analysis!$C$21*C186</f>
        <v>0.0149615278161481</v>
      </c>
      <c r="L186" s="2" t="n">
        <f aca="false">1+K186</f>
        <v>1.01496152781615</v>
      </c>
      <c r="N186" s="1" t="n">
        <f aca="false">Analysis!$C$35*G186+Analysis!$C$36*I186</f>
        <v>0.0175736374264979</v>
      </c>
      <c r="O186" s="1" t="n">
        <f aca="false">B186+Analysis!$C$42*N186</f>
        <v>0.0129075449433496</v>
      </c>
      <c r="P186" s="2" t="n">
        <f aca="false">1+O186</f>
        <v>1.01290754494335</v>
      </c>
    </row>
    <row r="187" customFormat="false" ht="15" hidden="false" customHeight="false" outlineLevel="0" collapsed="false">
      <c r="A187" s="6" t="n">
        <v>31564</v>
      </c>
      <c r="B187" s="1" t="n">
        <v>0.0052</v>
      </c>
      <c r="C187" s="1" t="n">
        <v>0.0158</v>
      </c>
      <c r="D187" s="1" t="n">
        <v>0.0245</v>
      </c>
      <c r="E187" s="1" t="n">
        <v>0.0166</v>
      </c>
      <c r="G187" s="1" t="n">
        <f aca="false">C187-$B187</f>
        <v>0.0106</v>
      </c>
      <c r="I187" s="1" t="n">
        <f aca="false">D187-E187</f>
        <v>0.0079</v>
      </c>
      <c r="K187" s="1" t="n">
        <f aca="false">(1-Analysis!$C$21)*B187 + Analysis!$C$21*C187</f>
        <v>0.00750848906604265</v>
      </c>
      <c r="L187" s="2" t="n">
        <f aca="false">1+K187</f>
        <v>1.00750848906604</v>
      </c>
      <c r="N187" s="1" t="n">
        <f aca="false">Analysis!$C$35*G187+Analysis!$C$36*I187</f>
        <v>0.00900636744436174</v>
      </c>
      <c r="O187" s="1" t="n">
        <f aca="false">B187+Analysis!$C$42*N187</f>
        <v>0.00930381131332006</v>
      </c>
      <c r="P187" s="2" t="n">
        <f aca="false">1+O187</f>
        <v>1.00930381131332</v>
      </c>
    </row>
    <row r="188" customFormat="false" ht="15" hidden="false" customHeight="false" outlineLevel="0" collapsed="false">
      <c r="A188" s="6" t="n">
        <v>31594</v>
      </c>
      <c r="B188" s="1" t="n">
        <v>0.0052</v>
      </c>
      <c r="C188" s="1" t="n">
        <v>-0.0591</v>
      </c>
      <c r="D188" s="1" t="n">
        <v>-0.0295</v>
      </c>
      <c r="E188" s="1" t="n">
        <v>-0.0767</v>
      </c>
      <c r="G188" s="1" t="n">
        <f aca="false">C188-$B188</f>
        <v>-0.0643</v>
      </c>
      <c r="I188" s="1" t="n">
        <f aca="false">D188-E188</f>
        <v>0.0472</v>
      </c>
      <c r="K188" s="1" t="n">
        <f aca="false">(1-Analysis!$C$21)*B188 + Analysis!$C$21*C188</f>
        <v>-0.00880338178740963</v>
      </c>
      <c r="L188" s="2" t="n">
        <f aca="false">1+K188</f>
        <v>0.99119661821259</v>
      </c>
      <c r="N188" s="1" t="n">
        <f aca="false">Analysis!$C$35*G188+Analysis!$C$36*I188</f>
        <v>0.00151112220506149</v>
      </c>
      <c r="O188" s="1" t="n">
        <f aca="false">B188+Analysis!$C$42*N188</f>
        <v>0.00588855289763052</v>
      </c>
      <c r="P188" s="2" t="n">
        <f aca="false">1+O188</f>
        <v>1.00588855289763</v>
      </c>
    </row>
    <row r="189" customFormat="false" ht="15" hidden="false" customHeight="false" outlineLevel="0" collapsed="false">
      <c r="A189" s="6" t="n">
        <v>31625</v>
      </c>
      <c r="B189" s="1" t="n">
        <v>0.0046</v>
      </c>
      <c r="C189" s="1" t="n">
        <v>0.0653</v>
      </c>
      <c r="D189" s="1" t="n">
        <v>0.0896</v>
      </c>
      <c r="E189" s="1" t="n">
        <v>0.0429</v>
      </c>
      <c r="G189" s="1" t="n">
        <f aca="false">C189-$B189</f>
        <v>0.0607</v>
      </c>
      <c r="I189" s="1" t="n">
        <f aca="false">D189-E189</f>
        <v>0.0467</v>
      </c>
      <c r="K189" s="1" t="n">
        <f aca="false">(1-Analysis!$C$21)*B189 + Analysis!$C$21*C189</f>
        <v>0.0178193666329046</v>
      </c>
      <c r="L189" s="2" t="n">
        <f aca="false">1+K189</f>
        <v>1.0178193666329</v>
      </c>
      <c r="N189" s="1" t="n">
        <f aca="false">Analysis!$C$35*G189+Analysis!$C$36*I189</f>
        <v>0.0524367200818757</v>
      </c>
      <c r="O189" s="1" t="n">
        <f aca="false">B189+Analysis!$C$42*N189</f>
        <v>0.0284931407623297</v>
      </c>
      <c r="P189" s="2" t="n">
        <f aca="false">1+O189</f>
        <v>1.02849314076233</v>
      </c>
    </row>
    <row r="190" customFormat="false" ht="15" hidden="false" customHeight="false" outlineLevel="0" collapsed="false">
      <c r="A190" s="6" t="n">
        <v>31656</v>
      </c>
      <c r="B190" s="1" t="n">
        <v>0.0045</v>
      </c>
      <c r="C190" s="1" t="n">
        <v>-0.0814</v>
      </c>
      <c r="D190" s="1" t="n">
        <v>-0.0692</v>
      </c>
      <c r="E190" s="1" t="n">
        <v>-0.099</v>
      </c>
      <c r="G190" s="1" t="n">
        <f aca="false">C190-$B190</f>
        <v>-0.0859</v>
      </c>
      <c r="I190" s="1" t="n">
        <f aca="false">D190-E190</f>
        <v>0.0298</v>
      </c>
      <c r="K190" s="1" t="n">
        <f aca="false">(1-Analysis!$C$21)*B190 + Analysis!$C$21*C190</f>
        <v>-0.0142074727144399</v>
      </c>
      <c r="L190" s="2" t="n">
        <f aca="false">1+K190</f>
        <v>0.98579252728556</v>
      </c>
      <c r="N190" s="1" t="n">
        <f aca="false">Analysis!$C$35*G190+Analysis!$C$36*I190</f>
        <v>-0.0176098938195012</v>
      </c>
      <c r="O190" s="1" t="n">
        <f aca="false">B190+Analysis!$C$42*N190</f>
        <v>-0.00352406541030877</v>
      </c>
      <c r="P190" s="2" t="n">
        <f aca="false">1+O190</f>
        <v>0.996475934589691</v>
      </c>
    </row>
    <row r="191" customFormat="false" ht="15" hidden="false" customHeight="false" outlineLevel="0" collapsed="false">
      <c r="A191" s="6" t="n">
        <v>31686</v>
      </c>
      <c r="B191" s="1" t="n">
        <v>0.0046</v>
      </c>
      <c r="C191" s="1" t="n">
        <v>0.051</v>
      </c>
      <c r="D191" s="1" t="n">
        <v>0.051</v>
      </c>
      <c r="E191" s="1" t="n">
        <v>0.0549</v>
      </c>
      <c r="G191" s="1" t="n">
        <f aca="false">C191-$B191</f>
        <v>0.0464</v>
      </c>
      <c r="I191" s="1" t="n">
        <f aca="false">D191-E191</f>
        <v>-0.0039</v>
      </c>
      <c r="K191" s="1" t="n">
        <f aca="false">(1-Analysis!$C$21)*B191 + Analysis!$C$21*C191</f>
        <v>0.0147050842136206</v>
      </c>
      <c r="L191" s="2" t="n">
        <f aca="false">1+K191</f>
        <v>1.01470508421362</v>
      </c>
      <c r="N191" s="1" t="n">
        <f aca="false">Analysis!$C$35*G191+Analysis!$C$36*I191</f>
        <v>0.0167112157227391</v>
      </c>
      <c r="O191" s="1" t="n">
        <f aca="false">B191+Analysis!$C$42*N191</f>
        <v>0.0122145767498351</v>
      </c>
      <c r="P191" s="2" t="n">
        <f aca="false">1+O191</f>
        <v>1.01221457674984</v>
      </c>
    </row>
    <row r="192" customFormat="false" ht="15" hidden="false" customHeight="false" outlineLevel="0" collapsed="false">
      <c r="A192" s="6" t="n">
        <v>31717</v>
      </c>
      <c r="B192" s="1" t="n">
        <v>0.0039</v>
      </c>
      <c r="C192" s="1" t="n">
        <v>0.0156</v>
      </c>
      <c r="D192" s="1" t="n">
        <v>0.0144</v>
      </c>
      <c r="E192" s="1" t="n">
        <v>0.0181</v>
      </c>
      <c r="G192" s="1" t="n">
        <f aca="false">C192-$B192</f>
        <v>0.0117</v>
      </c>
      <c r="I192" s="1" t="n">
        <f aca="false">D192-E192</f>
        <v>-0.0037</v>
      </c>
      <c r="K192" s="1" t="n">
        <f aca="false">(1-Analysis!$C$21)*B192 + Analysis!$C$21*C192</f>
        <v>0.00644804925214141</v>
      </c>
      <c r="L192" s="2" t="n">
        <f aca="false">1+K192</f>
        <v>1.00644804925214</v>
      </c>
      <c r="N192" s="1" t="n">
        <f aca="false">Analysis!$C$35*G192+Analysis!$C$36*I192</f>
        <v>0.00261039209006326</v>
      </c>
      <c r="O192" s="1" t="n">
        <f aca="false">B192+Analysis!$C$42*N192</f>
        <v>0.00508944254246579</v>
      </c>
      <c r="P192" s="2" t="n">
        <f aca="false">1+O192</f>
        <v>1.00508944254247</v>
      </c>
    </row>
    <row r="193" customFormat="false" ht="15" hidden="false" customHeight="false" outlineLevel="0" collapsed="false">
      <c r="A193" s="6" t="n">
        <v>31747</v>
      </c>
      <c r="B193" s="1" t="n">
        <v>0.0049</v>
      </c>
      <c r="C193" s="1" t="n">
        <v>-0.0277</v>
      </c>
      <c r="D193" s="1" t="n">
        <v>-0.0281</v>
      </c>
      <c r="E193" s="1" t="n">
        <v>-0.0254</v>
      </c>
      <c r="G193" s="1" t="n">
        <f aca="false">C193-$B193</f>
        <v>-0.0326</v>
      </c>
      <c r="I193" s="1" t="n">
        <f aca="false">D193-E193</f>
        <v>-0.0027</v>
      </c>
      <c r="K193" s="1" t="n">
        <f aca="false">(1-Analysis!$C$21)*B193 + Analysis!$C$21*C193</f>
        <v>-0.00219969278801795</v>
      </c>
      <c r="L193" s="2" t="n">
        <f aca="false">1+K193</f>
        <v>0.997800307211982</v>
      </c>
      <c r="N193" s="1" t="n">
        <f aca="false">Analysis!$C$35*G193+Analysis!$C$36*I193</f>
        <v>-0.0149519950320059</v>
      </c>
      <c r="O193" s="1" t="n">
        <f aca="false">B193+Analysis!$C$42*N193</f>
        <v>-0.00191297612473768</v>
      </c>
      <c r="P193" s="2" t="n">
        <f aca="false">1+O193</f>
        <v>0.998087023875262</v>
      </c>
    </row>
    <row r="194" customFormat="false" ht="15" hidden="false" customHeight="false" outlineLevel="0" collapsed="false">
      <c r="A194" s="6" t="n">
        <v>31778</v>
      </c>
      <c r="B194" s="1" t="n">
        <v>0.0042</v>
      </c>
      <c r="C194" s="1" t="n">
        <v>0.1287</v>
      </c>
      <c r="D194" s="1" t="n">
        <v>0.1087</v>
      </c>
      <c r="E194" s="1" t="n">
        <v>0.1385</v>
      </c>
      <c r="G194" s="1" t="n">
        <f aca="false">C194-$B194</f>
        <v>0.1245</v>
      </c>
      <c r="I194" s="1" t="n">
        <f aca="false">D194-E194</f>
        <v>-0.0298</v>
      </c>
      <c r="K194" s="1" t="n">
        <f aca="false">(1-Analysis!$C$21)*B194 + Analysis!$C$21*C194</f>
        <v>0.031313857426633</v>
      </c>
      <c r="L194" s="2" t="n">
        <f aca="false">1+K194</f>
        <v>1.03131385742663</v>
      </c>
      <c r="N194" s="1" t="n">
        <f aca="false">Analysis!$C$35*G194+Analysis!$C$36*I194</f>
        <v>0.0334268506166728</v>
      </c>
      <c r="O194" s="1" t="n">
        <f aca="false">B194+Analysis!$C$42*N194</f>
        <v>0.0194311671244591</v>
      </c>
      <c r="P194" s="2" t="n">
        <f aca="false">1+O194</f>
        <v>1.01943116712446</v>
      </c>
    </row>
    <row r="195" customFormat="false" ht="15" hidden="false" customHeight="false" outlineLevel="0" collapsed="false">
      <c r="A195" s="6" t="n">
        <v>31809</v>
      </c>
      <c r="B195" s="1" t="n">
        <v>0.0043</v>
      </c>
      <c r="C195" s="1" t="n">
        <v>0.0481</v>
      </c>
      <c r="D195" s="1" t="n">
        <v>0.0046</v>
      </c>
      <c r="E195" s="1" t="n">
        <v>0.0768</v>
      </c>
      <c r="G195" s="1" t="n">
        <f aca="false">C195-$B195</f>
        <v>0.0438</v>
      </c>
      <c r="I195" s="1" t="n">
        <f aca="false">D195-E195</f>
        <v>-0.0722</v>
      </c>
      <c r="K195" s="1" t="n">
        <f aca="false">(1-Analysis!$C$21)*B195 + Analysis!$C$21*C195</f>
        <v>0.0138388510464781</v>
      </c>
      <c r="L195" s="2" t="n">
        <f aca="false">1+K195</f>
        <v>1.01383885104648</v>
      </c>
      <c r="N195" s="1" t="n">
        <f aca="false">Analysis!$C$35*G195+Analysis!$C$36*I195</f>
        <v>-0.0246671764644586</v>
      </c>
      <c r="O195" s="1" t="n">
        <f aca="false">B195+Analysis!$C$42*N195</f>
        <v>-0.00693976325281732</v>
      </c>
      <c r="P195" s="2" t="n">
        <f aca="false">1+O195</f>
        <v>0.993060236747183</v>
      </c>
    </row>
    <row r="196" customFormat="false" ht="15" hidden="false" customHeight="false" outlineLevel="0" collapsed="false">
      <c r="A196" s="6" t="n">
        <v>31837</v>
      </c>
      <c r="B196" s="1" t="n">
        <v>0.0047</v>
      </c>
      <c r="C196" s="1" t="n">
        <v>0.021</v>
      </c>
      <c r="D196" s="1" t="n">
        <v>0.0269</v>
      </c>
      <c r="E196" s="1" t="n">
        <v>0.0159</v>
      </c>
      <c r="G196" s="1" t="n">
        <f aca="false">C196-$B196</f>
        <v>0.0163</v>
      </c>
      <c r="I196" s="1" t="n">
        <f aca="false">D196-E196</f>
        <v>0.011</v>
      </c>
      <c r="K196" s="1" t="n">
        <f aca="false">(1-Analysis!$C$21)*B196 + Analysis!$C$21*C196</f>
        <v>0.00824984639400897</v>
      </c>
      <c r="L196" s="2" t="n">
        <f aca="false">1+K196</f>
        <v>1.00824984639401</v>
      </c>
      <c r="N196" s="1" t="n">
        <f aca="false">Analysis!$C$35*G196+Analysis!$C$36*I196</f>
        <v>0.0131717583167101</v>
      </c>
      <c r="O196" s="1" t="n">
        <f aca="false">B196+Analysis!$C$42*N196</f>
        <v>0.0107017994080701</v>
      </c>
      <c r="P196" s="2" t="n">
        <f aca="false">1+O196</f>
        <v>1.01070179940807</v>
      </c>
    </row>
    <row r="197" customFormat="false" ht="15" hidden="false" customHeight="false" outlineLevel="0" collapsed="false">
      <c r="A197" s="6" t="n">
        <v>31868</v>
      </c>
      <c r="B197" s="1" t="n">
        <v>0.0044</v>
      </c>
      <c r="C197" s="1" t="n">
        <v>-0.0165</v>
      </c>
      <c r="D197" s="1" t="n">
        <v>-0.017</v>
      </c>
      <c r="E197" s="1" t="n">
        <v>-0.0183</v>
      </c>
      <c r="G197" s="1" t="n">
        <f aca="false">C197-$B197</f>
        <v>-0.0209</v>
      </c>
      <c r="I197" s="1" t="n">
        <f aca="false">D197-E197</f>
        <v>0.0013</v>
      </c>
      <c r="K197" s="1" t="n">
        <f aca="false">(1-Analysis!$C$21)*B197 + Analysis!$C$21*C197</f>
        <v>-0.000151643535876535</v>
      </c>
      <c r="L197" s="2" t="n">
        <f aca="false">1+K197</f>
        <v>0.999848356464124</v>
      </c>
      <c r="N197" s="1" t="n">
        <f aca="false">Analysis!$C$35*G197+Analysis!$C$36*I197</f>
        <v>-0.00779679898697431</v>
      </c>
      <c r="O197" s="1" t="n">
        <f aca="false">B197+Analysis!$C$42*N197</f>
        <v>0.000847336610671115</v>
      </c>
      <c r="P197" s="2" t="n">
        <f aca="false">1+O197</f>
        <v>1.00084733661067</v>
      </c>
    </row>
    <row r="198" customFormat="false" ht="15" hidden="false" customHeight="false" outlineLevel="0" collapsed="false">
      <c r="A198" s="6" t="n">
        <v>31898</v>
      </c>
      <c r="B198" s="1" t="n">
        <v>0.0038</v>
      </c>
      <c r="C198" s="1" t="n">
        <v>0.0049</v>
      </c>
      <c r="D198" s="1" t="n">
        <v>0.0071</v>
      </c>
      <c r="E198" s="1" t="n">
        <v>0.0114</v>
      </c>
      <c r="G198" s="1" t="n">
        <f aca="false">C198-$B198</f>
        <v>0.0011</v>
      </c>
      <c r="I198" s="1" t="n">
        <f aca="false">D198-E198</f>
        <v>-0.0043</v>
      </c>
      <c r="K198" s="1" t="n">
        <f aca="false">(1-Analysis!$C$21)*B198 + Analysis!$C$21*C198</f>
        <v>0.00403956018609877</v>
      </c>
      <c r="L198" s="2" t="n">
        <f aca="false">1+K198</f>
        <v>1.0040395601861</v>
      </c>
      <c r="N198" s="1" t="n">
        <f aca="false">Analysis!$C$35*G198+Analysis!$C$36*I198</f>
        <v>-0.00208726511127652</v>
      </c>
      <c r="O198" s="1" t="n">
        <f aca="false">B198+Analysis!$C$42*N198</f>
        <v>0.00284892374972806</v>
      </c>
      <c r="P198" s="2" t="n">
        <f aca="false">1+O198</f>
        <v>1.00284892374973</v>
      </c>
    </row>
    <row r="199" customFormat="false" ht="15" hidden="false" customHeight="false" outlineLevel="0" collapsed="false">
      <c r="A199" s="6" t="n">
        <v>31929</v>
      </c>
      <c r="B199" s="1" t="n">
        <v>0.0048</v>
      </c>
      <c r="C199" s="1" t="n">
        <v>0.0439</v>
      </c>
      <c r="D199" s="1" t="n">
        <v>0.0456</v>
      </c>
      <c r="E199" s="1" t="n">
        <v>0.0429</v>
      </c>
      <c r="G199" s="1" t="n">
        <f aca="false">C199-$B199</f>
        <v>0.0391</v>
      </c>
      <c r="I199" s="1" t="n">
        <f aca="false">D199-E199</f>
        <v>0.00269999999999999</v>
      </c>
      <c r="K199" s="1" t="n">
        <f aca="false">(1-Analysis!$C$21)*B199 + Analysis!$C$21*C199</f>
        <v>0.0133152757058743</v>
      </c>
      <c r="L199" s="2" t="n">
        <f aca="false">1+K199</f>
        <v>1.01331527570587</v>
      </c>
      <c r="N199" s="1" t="n">
        <f aca="false">Analysis!$C$35*G199+Analysis!$C$36*I199</f>
        <v>0.0176154722128768</v>
      </c>
      <c r="O199" s="1" t="n">
        <f aca="false">B199+Analysis!$C$42*N199</f>
        <v>0.0128266072424055</v>
      </c>
      <c r="P199" s="2" t="n">
        <f aca="false">1+O199</f>
        <v>1.01282660724241</v>
      </c>
    </row>
    <row r="200" customFormat="false" ht="15" hidden="false" customHeight="false" outlineLevel="0" collapsed="false">
      <c r="A200" s="6" t="n">
        <v>31959</v>
      </c>
      <c r="B200" s="1" t="n">
        <v>0.0046</v>
      </c>
      <c r="C200" s="1" t="n">
        <v>0.043</v>
      </c>
      <c r="D200" s="1" t="n">
        <v>0.0396</v>
      </c>
      <c r="E200" s="1" t="n">
        <v>0.0507</v>
      </c>
      <c r="G200" s="1" t="n">
        <f aca="false">C200-$B200</f>
        <v>0.0384</v>
      </c>
      <c r="I200" s="1" t="n">
        <f aca="false">D200-E200</f>
        <v>-0.0111</v>
      </c>
      <c r="K200" s="1" t="n">
        <f aca="false">(1-Analysis!$C$21)*B200 + Analysis!$C$21*C200</f>
        <v>0.0129628283147205</v>
      </c>
      <c r="L200" s="2" t="n">
        <f aca="false">1+K200</f>
        <v>1.01296282831472</v>
      </c>
      <c r="N200" s="1" t="n">
        <f aca="false">Analysis!$C$35*G200+Analysis!$C$36*I200</f>
        <v>0.0091834031466319</v>
      </c>
      <c r="O200" s="1" t="n">
        <f aca="false">B200+Analysis!$C$42*N200</f>
        <v>0.00878447881021334</v>
      </c>
      <c r="P200" s="2" t="n">
        <f aca="false">1+O200</f>
        <v>1.00878447881021</v>
      </c>
    </row>
    <row r="201" customFormat="false" ht="15" hidden="false" customHeight="false" outlineLevel="0" collapsed="false">
      <c r="A201" s="6" t="n">
        <v>31990</v>
      </c>
      <c r="B201" s="1" t="n">
        <v>0.0047</v>
      </c>
      <c r="C201" s="1" t="n">
        <v>0.0399</v>
      </c>
      <c r="D201" s="1" t="n">
        <v>0.0273</v>
      </c>
      <c r="E201" s="1" t="n">
        <v>0.0451</v>
      </c>
      <c r="G201" s="1" t="n">
        <f aca="false">C201-$B201</f>
        <v>0.0352</v>
      </c>
      <c r="I201" s="1" t="n">
        <f aca="false">D201-E201</f>
        <v>-0.0178</v>
      </c>
      <c r="K201" s="1" t="n">
        <f aca="false">(1-Analysis!$C$21)*B201 + Analysis!$C$21*C201</f>
        <v>0.0123659259551605</v>
      </c>
      <c r="L201" s="2" t="n">
        <f aca="false">1+K201</f>
        <v>1.01236592595516</v>
      </c>
      <c r="N201" s="1" t="n">
        <f aca="false">Analysis!$C$35*G201+Analysis!$C$36*I201</f>
        <v>0.00391758316710082</v>
      </c>
      <c r="O201" s="1" t="n">
        <f aca="false">B201+Analysis!$C$42*N201</f>
        <v>0.00648507286332019</v>
      </c>
      <c r="P201" s="2" t="n">
        <f aca="false">1+O201</f>
        <v>1.00648507286332</v>
      </c>
    </row>
    <row r="202" customFormat="false" ht="15" hidden="false" customHeight="false" outlineLevel="0" collapsed="false">
      <c r="A202" s="6" t="n">
        <v>32021</v>
      </c>
      <c r="B202" s="1" t="n">
        <v>0.0045</v>
      </c>
      <c r="C202" s="1" t="n">
        <v>-0.0213</v>
      </c>
      <c r="D202" s="1" t="n">
        <v>-0.0242</v>
      </c>
      <c r="E202" s="1" t="n">
        <v>-0.0204</v>
      </c>
      <c r="G202" s="1" t="n">
        <f aca="false">C202-$B202</f>
        <v>-0.0258</v>
      </c>
      <c r="I202" s="1" t="n">
        <f aca="false">D202-E202</f>
        <v>-0.0038</v>
      </c>
      <c r="K202" s="1" t="n">
        <f aca="false">(1-Analysis!$C$21)*B202 + Analysis!$C$21*C202</f>
        <v>-0.00111877527395285</v>
      </c>
      <c r="L202" s="2" t="n">
        <f aca="false">1+K202</f>
        <v>0.998881224726047</v>
      </c>
      <c r="N202" s="1" t="n">
        <f aca="false">Analysis!$C$35*G202+Analysis!$C$36*I202</f>
        <v>-0.0128148458429475</v>
      </c>
      <c r="O202" s="1" t="n">
        <f aca="false">B202+Analysis!$C$42*N202</f>
        <v>-0.00133916986216937</v>
      </c>
      <c r="P202" s="2" t="n">
        <f aca="false">1+O202</f>
        <v>0.998660830137831</v>
      </c>
    </row>
    <row r="203" customFormat="false" ht="15" hidden="false" customHeight="false" outlineLevel="0" collapsed="false">
      <c r="A203" s="6" t="n">
        <v>32051</v>
      </c>
      <c r="B203" s="1" t="n">
        <v>0.006</v>
      </c>
      <c r="C203" s="1" t="n">
        <v>-0.2259</v>
      </c>
      <c r="D203" s="1" t="n">
        <v>-0.203</v>
      </c>
      <c r="E203" s="1" t="n">
        <v>-0.2423</v>
      </c>
      <c r="G203" s="1" t="n">
        <f aca="false">C203-$B203</f>
        <v>-0.2319</v>
      </c>
      <c r="I203" s="1" t="n">
        <f aca="false">D203-E203</f>
        <v>0.0393</v>
      </c>
      <c r="K203" s="1" t="n">
        <f aca="false">(1-Analysis!$C$21)*B203 + Analysis!$C$21*C203</f>
        <v>-0.0445036428693669</v>
      </c>
      <c r="L203" s="2" t="n">
        <f aca="false">1+K203</f>
        <v>0.955496357130633</v>
      </c>
      <c r="N203" s="1" t="n">
        <f aca="false">Analysis!$C$35*G203+Analysis!$C$36*I203</f>
        <v>-0.0718284633003348</v>
      </c>
      <c r="O203" s="1" t="n">
        <f aca="false">B203+Analysis!$C$42*N203</f>
        <v>-0.0267291177193579</v>
      </c>
      <c r="P203" s="2" t="n">
        <f aca="false">1+O203</f>
        <v>0.973270882280642</v>
      </c>
    </row>
    <row r="204" customFormat="false" ht="15" hidden="false" customHeight="false" outlineLevel="0" collapsed="false">
      <c r="A204" s="6" t="n">
        <v>32082</v>
      </c>
      <c r="B204" s="1" t="n">
        <v>0.0035</v>
      </c>
      <c r="C204" s="1" t="n">
        <v>-0.0741</v>
      </c>
      <c r="D204" s="1" t="n">
        <v>-0.055</v>
      </c>
      <c r="E204" s="1" t="n">
        <v>-0.0853</v>
      </c>
      <c r="G204" s="1" t="n">
        <f aca="false">C204-$B204</f>
        <v>-0.0776</v>
      </c>
      <c r="I204" s="1" t="n">
        <f aca="false">D204-E204</f>
        <v>0.0303</v>
      </c>
      <c r="K204" s="1" t="n">
        <f aca="false">(1-Analysis!$C$21)*B204 + Analysis!$C$21*C204</f>
        <v>-0.0133998822193311</v>
      </c>
      <c r="L204" s="2" t="n">
        <f aca="false">1+K204</f>
        <v>0.986600117780669</v>
      </c>
      <c r="N204" s="1" t="n">
        <f aca="false">Analysis!$C$35*G204+Analysis!$C$36*I204</f>
        <v>-0.0139137212024562</v>
      </c>
      <c r="O204" s="1" t="n">
        <f aca="false">B204+Analysis!$C$42*N204</f>
        <v>-0.00283987973883597</v>
      </c>
      <c r="P204" s="2" t="n">
        <f aca="false">1+O204</f>
        <v>0.997160120261164</v>
      </c>
    </row>
    <row r="205" customFormat="false" ht="15" hidden="false" customHeight="false" outlineLevel="0" collapsed="false">
      <c r="A205" s="6" t="n">
        <v>32112</v>
      </c>
      <c r="B205" s="1" t="n">
        <v>0.0039</v>
      </c>
      <c r="C205" s="1" t="n">
        <v>0.0721</v>
      </c>
      <c r="D205" s="1" t="n">
        <v>0.049</v>
      </c>
      <c r="E205" s="1" t="n">
        <v>0.0914</v>
      </c>
      <c r="G205" s="1" t="n">
        <f aca="false">C205-$B205</f>
        <v>0.0682</v>
      </c>
      <c r="I205" s="1" t="n">
        <f aca="false">D205-E205</f>
        <v>-0.0424</v>
      </c>
      <c r="K205" s="1" t="n">
        <f aca="false">(1-Analysis!$C$21)*B205 + Analysis!$C$21*C205</f>
        <v>0.0187527315381234</v>
      </c>
      <c r="L205" s="2" t="n">
        <f aca="false">1+K205</f>
        <v>1.01875273153812</v>
      </c>
      <c r="N205" s="1" t="n">
        <f aca="false">Analysis!$C$35*G205+Analysis!$C$36*I205</f>
        <v>0.00292008864681793</v>
      </c>
      <c r="O205" s="1" t="n">
        <f aca="false">B205+Analysis!$C$42*N205</f>
        <v>0.00523055784129826</v>
      </c>
      <c r="P205" s="2" t="n">
        <f aca="false">1+O205</f>
        <v>1.0052305578413</v>
      </c>
    </row>
    <row r="206" customFormat="false" ht="15" hidden="false" customHeight="false" outlineLevel="0" collapsed="false">
      <c r="A206" s="6" t="n">
        <v>32143</v>
      </c>
      <c r="B206" s="1" t="n">
        <v>0.0029</v>
      </c>
      <c r="C206" s="1" t="n">
        <v>0.045</v>
      </c>
      <c r="D206" s="1" t="n">
        <v>0.0773</v>
      </c>
      <c r="E206" s="1" t="n">
        <v>0.0204</v>
      </c>
      <c r="G206" s="1" t="n">
        <f aca="false">C206-$B206</f>
        <v>0.0421</v>
      </c>
      <c r="I206" s="1" t="n">
        <f aca="false">D206-E206</f>
        <v>0.0569</v>
      </c>
      <c r="K206" s="1" t="n">
        <f aca="false">(1-Analysis!$C$21)*B206 + Analysis!$C$21*C206</f>
        <v>0.0120686216679618</v>
      </c>
      <c r="L206" s="2" t="n">
        <f aca="false">1+K206</f>
        <v>1.01206862166796</v>
      </c>
      <c r="N206" s="1" t="n">
        <f aca="false">Analysis!$C$35*G206+Analysis!$C$36*I206</f>
        <v>0.0508354673420171</v>
      </c>
      <c r="O206" s="1" t="n">
        <f aca="false">B206+Analysis!$C$42*N206</f>
        <v>0.0260635192862006</v>
      </c>
      <c r="P206" s="2" t="n">
        <f aca="false">1+O206</f>
        <v>1.0260635192862</v>
      </c>
    </row>
    <row r="207" customFormat="false" ht="15" hidden="false" customHeight="false" outlineLevel="0" collapsed="false">
      <c r="A207" s="6" t="n">
        <v>32174</v>
      </c>
      <c r="B207" s="1" t="n">
        <v>0.0046</v>
      </c>
      <c r="C207" s="1" t="n">
        <v>0.0523</v>
      </c>
      <c r="D207" s="1" t="n">
        <v>0.0396</v>
      </c>
      <c r="E207" s="1" t="n">
        <v>0.0576</v>
      </c>
      <c r="G207" s="1" t="n">
        <f aca="false">C207-$B207</f>
        <v>0.0477</v>
      </c>
      <c r="I207" s="1" t="n">
        <f aca="false">D207-E207</f>
        <v>-0.018</v>
      </c>
      <c r="K207" s="1" t="n">
        <f aca="false">(1-Analysis!$C$21)*B207 + Analysis!$C$21*C207</f>
        <v>0.0149882007971919</v>
      </c>
      <c r="L207" s="2" t="n">
        <f aca="false">1+K207</f>
        <v>1.01498820079719</v>
      </c>
      <c r="N207" s="1" t="n">
        <f aca="false">Analysis!$C$35*G207+Analysis!$C$36*I207</f>
        <v>0.00892160781280234</v>
      </c>
      <c r="O207" s="1" t="n">
        <f aca="false">B207+Analysis!$C$42*N207</f>
        <v>0.00866519002265485</v>
      </c>
      <c r="P207" s="2" t="n">
        <f aca="false">1+O207</f>
        <v>1.00866519002265</v>
      </c>
    </row>
    <row r="208" customFormat="false" ht="15" hidden="false" customHeight="false" outlineLevel="0" collapsed="false">
      <c r="A208" s="6" t="n">
        <v>32203</v>
      </c>
      <c r="B208" s="1" t="n">
        <v>0.0044</v>
      </c>
      <c r="C208" s="1" t="n">
        <v>-0.0182</v>
      </c>
      <c r="D208" s="1" t="n">
        <v>-0.0062</v>
      </c>
      <c r="E208" s="1" t="n">
        <v>-0.024</v>
      </c>
      <c r="G208" s="1" t="n">
        <f aca="false">C208-$B208</f>
        <v>-0.0226</v>
      </c>
      <c r="I208" s="1" t="n">
        <f aca="false">D208-E208</f>
        <v>0.0178</v>
      </c>
      <c r="K208" s="1" t="n">
        <f aca="false">(1-Analysis!$C$21)*B208 + Analysis!$C$21*C208</f>
        <v>-0.000521872914392808</v>
      </c>
      <c r="L208" s="2" t="n">
        <f aca="false">1+K208</f>
        <v>0.999478127085607</v>
      </c>
      <c r="N208" s="1" t="n">
        <f aca="false">Analysis!$C$35*G208+Analysis!$C$36*I208</f>
        <v>0.0012454649065873</v>
      </c>
      <c r="O208" s="1" t="n">
        <f aca="false">B208+Analysis!$C$42*N208</f>
        <v>0.00496750438015893</v>
      </c>
      <c r="P208" s="2" t="n">
        <f aca="false">1+O208</f>
        <v>1.00496750438016</v>
      </c>
    </row>
    <row r="209" customFormat="false" ht="15" hidden="false" customHeight="false" outlineLevel="0" collapsed="false">
      <c r="A209" s="6" t="n">
        <v>32234</v>
      </c>
      <c r="B209" s="1" t="n">
        <v>0.0046</v>
      </c>
      <c r="C209" s="1" t="n">
        <v>0.0103</v>
      </c>
      <c r="D209" s="1" t="n">
        <v>0.0155</v>
      </c>
      <c r="E209" s="1" t="n">
        <v>-0.0044</v>
      </c>
      <c r="G209" s="1" t="n">
        <f aca="false">C209-$B209</f>
        <v>0.0057</v>
      </c>
      <c r="I209" s="1" t="n">
        <f aca="false">D209-E209</f>
        <v>0.0199</v>
      </c>
      <c r="K209" s="1" t="n">
        <f aca="false">(1-Analysis!$C$21)*B209 + Analysis!$C$21*C209</f>
        <v>0.00584135732796633</v>
      </c>
      <c r="L209" s="2" t="n">
        <f aca="false">1+K209</f>
        <v>1.00584135732797</v>
      </c>
      <c r="N209" s="1" t="n">
        <f aca="false">Analysis!$C$35*G209+Analysis!$C$36*I209</f>
        <v>0.0140813267740975</v>
      </c>
      <c r="O209" s="1" t="n">
        <f aca="false">B209+Analysis!$C$42*N209</f>
        <v>0.0110162503338984</v>
      </c>
      <c r="P209" s="2" t="n">
        <f aca="false">1+O209</f>
        <v>1.0110162503339</v>
      </c>
    </row>
    <row r="210" customFormat="false" ht="15" hidden="false" customHeight="false" outlineLevel="0" collapsed="false">
      <c r="A210" s="6" t="n">
        <v>32264</v>
      </c>
      <c r="B210" s="1" t="n">
        <v>0.0051</v>
      </c>
      <c r="C210" s="1" t="n">
        <v>0.0024</v>
      </c>
      <c r="D210" s="1" t="n">
        <v>0.0181</v>
      </c>
      <c r="E210" s="1" t="n">
        <v>-0.0033</v>
      </c>
      <c r="G210" s="1" t="n">
        <f aca="false">C210-$B210</f>
        <v>-0.0027</v>
      </c>
      <c r="I210" s="1" t="n">
        <f aca="false">D210-E210</f>
        <v>0.0214</v>
      </c>
      <c r="K210" s="1" t="n">
        <f aca="false">(1-Analysis!$C$21)*B210 + Analysis!$C$21*C210</f>
        <v>0.00451198863412121</v>
      </c>
      <c r="L210" s="2" t="n">
        <f aca="false">1+K210</f>
        <v>1.00451198863412</v>
      </c>
      <c r="N210" s="1" t="n">
        <f aca="false">Analysis!$C$35*G210+Analysis!$C$36*I210</f>
        <v>0.0115246461447711</v>
      </c>
      <c r="O210" s="1" t="n">
        <f aca="false">B210+Analysis!$C$42*N210</f>
        <v>0.0103512817762649</v>
      </c>
      <c r="P210" s="2" t="n">
        <f aca="false">1+O210</f>
        <v>1.01035128177627</v>
      </c>
    </row>
    <row r="211" customFormat="false" ht="15" hidden="false" customHeight="false" outlineLevel="0" collapsed="false">
      <c r="A211" s="6" t="n">
        <v>32295</v>
      </c>
      <c r="B211" s="1" t="n">
        <v>0.0049</v>
      </c>
      <c r="C211" s="1" t="n">
        <v>0.0527</v>
      </c>
      <c r="D211" s="1" t="n">
        <v>0.0417</v>
      </c>
      <c r="E211" s="1" t="n">
        <v>0.0525</v>
      </c>
      <c r="G211" s="1" t="n">
        <f aca="false">C211-$B211</f>
        <v>0.0478</v>
      </c>
      <c r="I211" s="1" t="n">
        <f aca="false">D211-E211</f>
        <v>-0.0108</v>
      </c>
      <c r="K211" s="1" t="n">
        <f aca="false">(1-Analysis!$C$21)*B211 + Analysis!$C$21*C211</f>
        <v>0.0153099789959282</v>
      </c>
      <c r="L211" s="2" t="n">
        <f aca="false">1+K211</f>
        <v>1.01530997899593</v>
      </c>
      <c r="N211" s="1" t="n">
        <f aca="false">Analysis!$C$35*G211+Analysis!$C$36*I211</f>
        <v>0.0132122711998511</v>
      </c>
      <c r="O211" s="1" t="n">
        <f aca="false">B211+Analysis!$C$42*N211</f>
        <v>0.0109202593731111</v>
      </c>
      <c r="P211" s="2" t="n">
        <f aca="false">1+O211</f>
        <v>1.01092025937311</v>
      </c>
    </row>
    <row r="212" customFormat="false" ht="15" hidden="false" customHeight="false" outlineLevel="0" collapsed="false">
      <c r="A212" s="6" t="n">
        <v>32325</v>
      </c>
      <c r="B212" s="1" t="n">
        <v>0.0051</v>
      </c>
      <c r="C212" s="1" t="n">
        <v>-0.0074</v>
      </c>
      <c r="D212" s="1" t="n">
        <v>0.0023</v>
      </c>
      <c r="E212" s="1" t="n">
        <v>-0.0169</v>
      </c>
      <c r="G212" s="1" t="n">
        <f aca="false">C212-$B212</f>
        <v>-0.0125</v>
      </c>
      <c r="I212" s="1" t="n">
        <f aca="false">D212-E212</f>
        <v>0.0192</v>
      </c>
      <c r="K212" s="1" t="n">
        <f aca="false">(1-Analysis!$C$21)*B212 + Analysis!$C$21*C212</f>
        <v>0.00237772515796858</v>
      </c>
      <c r="L212" s="2" t="n">
        <f aca="false">1+K212</f>
        <v>1.00237772515797</v>
      </c>
      <c r="N212" s="1" t="n">
        <f aca="false">Analysis!$C$35*G212+Analysis!$C$36*I212</f>
        <v>0.00621042667175291</v>
      </c>
      <c r="O212" s="1" t="n">
        <f aca="false">B212+Analysis!$C$42*N212</f>
        <v>0.00792982227779741</v>
      </c>
      <c r="P212" s="2" t="n">
        <f aca="false">1+O212</f>
        <v>1.0079298222778</v>
      </c>
    </row>
    <row r="213" customFormat="false" ht="15" hidden="false" customHeight="false" outlineLevel="0" collapsed="false">
      <c r="A213" s="6" t="n">
        <v>32356</v>
      </c>
      <c r="B213" s="1" t="n">
        <v>0.0059</v>
      </c>
      <c r="C213" s="1" t="n">
        <v>-0.0272</v>
      </c>
      <c r="D213" s="1" t="n">
        <v>-0.0142</v>
      </c>
      <c r="E213" s="1" t="n">
        <v>-0.0308</v>
      </c>
      <c r="G213" s="1" t="n">
        <f aca="false">C213-$B213</f>
        <v>-0.0331</v>
      </c>
      <c r="I213" s="1" t="n">
        <f aca="false">D213-E213</f>
        <v>0.0166</v>
      </c>
      <c r="K213" s="1" t="n">
        <f aca="false">(1-Analysis!$C$21)*B213 + Analysis!$C$21*C213</f>
        <v>-0.0013085837816992</v>
      </c>
      <c r="L213" s="2" t="n">
        <f aca="false">1+K213</f>
        <v>0.998691416218301</v>
      </c>
      <c r="N213" s="1" t="n">
        <f aca="false">Analysis!$C$35*G213+Analysis!$C$36*I213</f>
        <v>-0.00376535629065869</v>
      </c>
      <c r="O213" s="1" t="n">
        <f aca="false">B213+Analysis!$C$42*N213</f>
        <v>0.0041842903268443</v>
      </c>
      <c r="P213" s="2" t="n">
        <f aca="false">1+O213</f>
        <v>1.00418429032684</v>
      </c>
    </row>
    <row r="214" customFormat="false" ht="15" hidden="false" customHeight="false" outlineLevel="0" collapsed="false">
      <c r="A214" s="6" t="n">
        <v>32387</v>
      </c>
      <c r="B214" s="1" t="n">
        <v>0.0062</v>
      </c>
      <c r="C214" s="1" t="n">
        <v>0.0393</v>
      </c>
      <c r="D214" s="1" t="n">
        <v>0.0349</v>
      </c>
      <c r="E214" s="1" t="n">
        <v>0.0483</v>
      </c>
      <c r="G214" s="1" t="n">
        <f aca="false">C214-$B214</f>
        <v>0.0331</v>
      </c>
      <c r="I214" s="1" t="n">
        <f aca="false">D214-E214</f>
        <v>-0.0134</v>
      </c>
      <c r="K214" s="1" t="n">
        <f aca="false">(1-Analysis!$C$21)*B214 + Analysis!$C$21*C214</f>
        <v>0.0134085837816992</v>
      </c>
      <c r="L214" s="2" t="n">
        <f aca="false">1+K214</f>
        <v>1.0134085837817</v>
      </c>
      <c r="N214" s="1" t="n">
        <f aca="false">Analysis!$C$35*G214+Analysis!$C$36*I214</f>
        <v>0.00565410598622996</v>
      </c>
      <c r="O214" s="1" t="n">
        <f aca="false">B214+Analysis!$C$42*N214</f>
        <v>0.0087763310520411</v>
      </c>
      <c r="P214" s="2" t="n">
        <f aca="false">1+O214</f>
        <v>1.00877633105204</v>
      </c>
    </row>
    <row r="215" customFormat="false" ht="15" hidden="false" customHeight="false" outlineLevel="0" collapsed="false">
      <c r="A215" s="6" t="n">
        <v>32417</v>
      </c>
      <c r="B215" s="1" t="n">
        <v>0.0061</v>
      </c>
      <c r="C215" s="1" t="n">
        <v>0.0177</v>
      </c>
      <c r="D215" s="1" t="n">
        <v>0.0264</v>
      </c>
      <c r="E215" s="1" t="n">
        <v>0.0117</v>
      </c>
      <c r="G215" s="1" t="n">
        <f aca="false">C215-$B215</f>
        <v>0.0116</v>
      </c>
      <c r="I215" s="1" t="n">
        <f aca="false">D215-E215</f>
        <v>0.0147</v>
      </c>
      <c r="K215" s="1" t="n">
        <f aca="false">(1-Analysis!$C$21)*B215 + Analysis!$C$21*C215</f>
        <v>0.00862627105340516</v>
      </c>
      <c r="L215" s="2" t="n">
        <f aca="false">1+K215</f>
        <v>1.00862627105341</v>
      </c>
      <c r="N215" s="1" t="n">
        <f aca="false">Analysis!$C$35*G215+Analysis!$C$36*I215</f>
        <v>0.0134297262675847</v>
      </c>
      <c r="O215" s="1" t="n">
        <f aca="false">B215+Analysis!$C$42*N215</f>
        <v>0.0122193442230927</v>
      </c>
      <c r="P215" s="2" t="n">
        <f aca="false">1+O215</f>
        <v>1.01221934422309</v>
      </c>
    </row>
    <row r="216" customFormat="false" ht="15" hidden="false" customHeight="false" outlineLevel="0" collapsed="false">
      <c r="A216" s="6" t="n">
        <v>32448</v>
      </c>
      <c r="B216" s="1" t="n">
        <v>0.0057</v>
      </c>
      <c r="C216" s="1" t="n">
        <v>-0.017</v>
      </c>
      <c r="D216" s="1" t="n">
        <v>-0.0066</v>
      </c>
      <c r="E216" s="1" t="n">
        <v>-0.0215</v>
      </c>
      <c r="G216" s="1" t="n">
        <f aca="false">C216-$B216</f>
        <v>-0.0227</v>
      </c>
      <c r="I216" s="1" t="n">
        <f aca="false">D216-E216</f>
        <v>0.0149</v>
      </c>
      <c r="K216" s="1" t="n">
        <f aca="false">(1-Analysis!$C$21)*B216 + Analysis!$C$21*C216</f>
        <v>0.00075634888687094</v>
      </c>
      <c r="L216" s="2" t="n">
        <f aca="false">1+K216</f>
        <v>1.00075634888687</v>
      </c>
      <c r="N216" s="1" t="n">
        <f aca="false">Analysis!$C$35*G216+Analysis!$C$36*I216</f>
        <v>-0.000507191077037564</v>
      </c>
      <c r="O216" s="1" t="n">
        <f aca="false">B216+Analysis!$C$42*N216</f>
        <v>0.00546889500757991</v>
      </c>
      <c r="P216" s="2" t="n">
        <f aca="false">1+O216</f>
        <v>1.00546889500758</v>
      </c>
    </row>
    <row r="217" customFormat="false" ht="15" hidden="false" customHeight="false" outlineLevel="0" collapsed="false">
      <c r="A217" s="6" t="n">
        <v>32478</v>
      </c>
      <c r="B217" s="1" t="n">
        <v>0.0063</v>
      </c>
      <c r="C217" s="1" t="n">
        <v>0.0211</v>
      </c>
      <c r="D217" s="1" t="n">
        <v>0.0088</v>
      </c>
      <c r="E217" s="1" t="n">
        <v>0.0299</v>
      </c>
      <c r="G217" s="1" t="n">
        <f aca="false">C217-$B217</f>
        <v>0.0148</v>
      </c>
      <c r="I217" s="1" t="n">
        <f aca="false">D217-E217</f>
        <v>-0.0211</v>
      </c>
      <c r="K217" s="1" t="n">
        <f aca="false">(1-Analysis!$C$21)*B217 + Analysis!$C$21*C217</f>
        <v>0.0095231734129652</v>
      </c>
      <c r="L217" s="2" t="n">
        <f aca="false">1+K217</f>
        <v>1.00952317341297</v>
      </c>
      <c r="N217" s="1" t="n">
        <f aca="false">Analysis!$C$35*G217+Analysis!$C$36*I217</f>
        <v>-0.0063894106471902</v>
      </c>
      <c r="O217" s="1" t="n">
        <f aca="false">B217+Analysis!$C$42*N217</f>
        <v>0.00338862248166414</v>
      </c>
      <c r="P217" s="2" t="n">
        <f aca="false">1+O217</f>
        <v>1.00338862248166</v>
      </c>
    </row>
    <row r="218" customFormat="false" ht="15" hidden="false" customHeight="false" outlineLevel="0" collapsed="false">
      <c r="A218" s="6" t="n">
        <v>32509</v>
      </c>
      <c r="B218" s="1" t="n">
        <v>0.0055</v>
      </c>
      <c r="C218" s="1" t="n">
        <v>0.0662</v>
      </c>
      <c r="D218" s="1" t="n">
        <v>0.0684</v>
      </c>
      <c r="E218" s="1" t="n">
        <v>0.0668</v>
      </c>
      <c r="G218" s="1" t="n">
        <f aca="false">C218-$B218</f>
        <v>0.0607</v>
      </c>
      <c r="I218" s="1" t="n">
        <f aca="false">D218-E218</f>
        <v>0.0016</v>
      </c>
      <c r="K218" s="1" t="n">
        <f aca="false">(1-Analysis!$C$21)*B218 + Analysis!$C$21*C218</f>
        <v>0.0187193666329046</v>
      </c>
      <c r="L218" s="2" t="n">
        <f aca="false">1+K218</f>
        <v>1.0187193666329</v>
      </c>
      <c r="N218" s="1" t="n">
        <f aca="false">Analysis!$C$35*G218+Analysis!$C$36*I218</f>
        <v>0.0258171540599181</v>
      </c>
      <c r="O218" s="1" t="n">
        <f aca="false">B218+Analysis!$C$42*N218</f>
        <v>0.0172637582036635</v>
      </c>
      <c r="P218" s="2" t="n">
        <f aca="false">1+O218</f>
        <v>1.01726375820366</v>
      </c>
    </row>
    <row r="219" customFormat="false" ht="15" hidden="false" customHeight="false" outlineLevel="0" collapsed="false">
      <c r="A219" s="6" t="n">
        <v>32540</v>
      </c>
      <c r="B219" s="1" t="n">
        <v>0.0061</v>
      </c>
      <c r="C219" s="1" t="n">
        <v>-0.0162</v>
      </c>
      <c r="D219" s="1" t="n">
        <v>-0.0097</v>
      </c>
      <c r="E219" s="1" t="n">
        <v>-0.0218</v>
      </c>
      <c r="G219" s="1" t="n">
        <f aca="false">C219-$B219</f>
        <v>-0.0223</v>
      </c>
      <c r="I219" s="1" t="n">
        <f aca="false">D219-E219</f>
        <v>0.0121</v>
      </c>
      <c r="K219" s="1" t="n">
        <f aca="false">(1-Analysis!$C$21)*B219 + Analysis!$C$21*C219</f>
        <v>0.00124346168181595</v>
      </c>
      <c r="L219" s="2" t="n">
        <f aca="false">1+K219</f>
        <v>1.00124346168182</v>
      </c>
      <c r="N219" s="1" t="n">
        <f aca="false">Analysis!$C$35*G219+Analysis!$C$36*I219</f>
        <v>-0.00199594077260883</v>
      </c>
      <c r="O219" s="1" t="n">
        <f aca="false">B219+Analysis!$C$42*N219</f>
        <v>0.00519053629291167</v>
      </c>
      <c r="P219" s="2" t="n">
        <f aca="false">1+O219</f>
        <v>1.00519053629291</v>
      </c>
    </row>
    <row r="220" customFormat="false" ht="15" hidden="false" customHeight="false" outlineLevel="0" collapsed="false">
      <c r="A220" s="6" t="n">
        <v>32568</v>
      </c>
      <c r="B220" s="1" t="n">
        <v>0.0067</v>
      </c>
      <c r="C220" s="1" t="n">
        <v>0.0224</v>
      </c>
      <c r="D220" s="1" t="n">
        <v>0.0271</v>
      </c>
      <c r="E220" s="1" t="n">
        <v>0.0249</v>
      </c>
      <c r="G220" s="1" t="n">
        <f aca="false">C220-$B220</f>
        <v>0.0157</v>
      </c>
      <c r="I220" s="1" t="n">
        <f aca="false">D220-E220</f>
        <v>0.0022</v>
      </c>
      <c r="K220" s="1" t="n">
        <f aca="false">(1-Analysis!$C$21)*B220 + Analysis!$C$21*C220</f>
        <v>0.0101191772015915</v>
      </c>
      <c r="L220" s="2" t="n">
        <f aca="false">1+K220</f>
        <v>1.01011917720159</v>
      </c>
      <c r="N220" s="1" t="n">
        <f aca="false">Analysis!$C$35*G220+Analysis!$C$36*I220</f>
        <v>0.0077318372218087</v>
      </c>
      <c r="O220" s="1" t="n">
        <f aca="false">B220+Analysis!$C$42*N220</f>
        <v>0.0102230631283506</v>
      </c>
      <c r="P220" s="2" t="n">
        <f aca="false">1+O220</f>
        <v>1.01022306312835</v>
      </c>
    </row>
    <row r="221" customFormat="false" ht="15" hidden="false" customHeight="false" outlineLevel="0" collapsed="false">
      <c r="A221" s="6" t="n">
        <v>32599</v>
      </c>
      <c r="B221" s="1" t="n">
        <v>0.0067</v>
      </c>
      <c r="C221" s="1" t="n">
        <v>0.0502</v>
      </c>
      <c r="D221" s="1" t="n">
        <v>0.0403</v>
      </c>
      <c r="E221" s="1" t="n">
        <v>0.0593</v>
      </c>
      <c r="G221" s="1" t="n">
        <f aca="false">C221-$B221</f>
        <v>0.0435</v>
      </c>
      <c r="I221" s="1" t="n">
        <f aca="false">D221-E221</f>
        <v>-0.019</v>
      </c>
      <c r="K221" s="1" t="n">
        <f aca="false">(1-Analysis!$C$21)*B221 + Analysis!$C$21*C221</f>
        <v>0.0161735164502693</v>
      </c>
      <c r="L221" s="2" t="n">
        <f aca="false">1+K221</f>
        <v>1.01617351645027</v>
      </c>
      <c r="N221" s="1" t="n">
        <f aca="false">Analysis!$C$35*G221+Analysis!$C$36*I221</f>
        <v>0.0066103575083736</v>
      </c>
      <c r="O221" s="1" t="n">
        <f aca="false">B221+Analysis!$C$42*N221</f>
        <v>0.00971205342726012</v>
      </c>
      <c r="P221" s="2" t="n">
        <f aca="false">1+O221</f>
        <v>1.00971205342726</v>
      </c>
    </row>
    <row r="222" customFormat="false" ht="15" hidden="false" customHeight="false" outlineLevel="0" collapsed="false">
      <c r="A222" s="6" t="n">
        <v>32629</v>
      </c>
      <c r="B222" s="1" t="n">
        <v>0.0079</v>
      </c>
      <c r="C222" s="1" t="n">
        <v>0.0407</v>
      </c>
      <c r="D222" s="1" t="n">
        <v>0.0392</v>
      </c>
      <c r="E222" s="1" t="n">
        <v>0.0483</v>
      </c>
      <c r="G222" s="1" t="n">
        <f aca="false">C222-$B222</f>
        <v>0.0328</v>
      </c>
      <c r="I222" s="1" t="n">
        <f aca="false">D222-E222</f>
        <v>-0.0091</v>
      </c>
      <c r="K222" s="1" t="n">
        <f aca="false">(1-Analysis!$C$21)*B222 + Analysis!$C$21*C222</f>
        <v>0.0150432491854904</v>
      </c>
      <c r="L222" s="2" t="n">
        <f aca="false">1+K222</f>
        <v>1.01504324918549</v>
      </c>
      <c r="N222" s="1" t="n">
        <f aca="false">Analysis!$C$35*G222+Analysis!$C$36*I222</f>
        <v>0.00806918367361366</v>
      </c>
      <c r="O222" s="1" t="n">
        <f aca="false">B222+Analysis!$C$42*N222</f>
        <v>0.011576777286026</v>
      </c>
      <c r="P222" s="2" t="n">
        <f aca="false">1+O222</f>
        <v>1.01157677728603</v>
      </c>
    </row>
    <row r="223" customFormat="false" ht="15" hidden="false" customHeight="false" outlineLevel="0" collapsed="false">
      <c r="A223" s="6" t="n">
        <v>32660</v>
      </c>
      <c r="B223" s="1" t="n">
        <v>0.0071</v>
      </c>
      <c r="C223" s="1" t="n">
        <v>-0.0062</v>
      </c>
      <c r="D223" s="1" t="n">
        <v>0.0039</v>
      </c>
      <c r="E223" s="1" t="n">
        <v>-0.0122</v>
      </c>
      <c r="G223" s="1" t="n">
        <f aca="false">C223-$B223</f>
        <v>-0.0133</v>
      </c>
      <c r="I223" s="1" t="n">
        <f aca="false">D223-E223</f>
        <v>0.0161</v>
      </c>
      <c r="K223" s="1" t="n">
        <f aca="false">(1-Analysis!$C$21)*B223 + Analysis!$C$21*C223</f>
        <v>0.00420349956807857</v>
      </c>
      <c r="L223" s="2" t="n">
        <f aca="false">1+K223</f>
        <v>1.00420349956808</v>
      </c>
      <c r="N223" s="1" t="n">
        <f aca="false">Analysis!$C$35*G223+Analysis!$C$36*I223</f>
        <v>0.00405288782806105</v>
      </c>
      <c r="O223" s="1" t="n">
        <f aca="false">B223+Analysis!$C$42*N223</f>
        <v>0.00894672533328922</v>
      </c>
      <c r="P223" s="2" t="n">
        <f aca="false">1+O223</f>
        <v>1.00894672533329</v>
      </c>
    </row>
    <row r="224" customFormat="false" ht="15" hidden="false" customHeight="false" outlineLevel="0" collapsed="false">
      <c r="A224" s="6" t="n">
        <v>32690</v>
      </c>
      <c r="B224" s="1" t="n">
        <v>0.007</v>
      </c>
      <c r="C224" s="1" t="n">
        <v>0.0788</v>
      </c>
      <c r="D224" s="1" t="n">
        <v>0.0586</v>
      </c>
      <c r="E224" s="1" t="n">
        <v>0.1007</v>
      </c>
      <c r="G224" s="1" t="n">
        <f aca="false">C224-$B224</f>
        <v>0.0718</v>
      </c>
      <c r="I224" s="1" t="n">
        <f aca="false">D224-E224</f>
        <v>-0.0421</v>
      </c>
      <c r="K224" s="1" t="n">
        <f aca="false">(1-Analysis!$C$21)*B224 + Analysis!$C$21*C224</f>
        <v>0.0226367466926285</v>
      </c>
      <c r="L224" s="2" t="n">
        <f aca="false">1+K224</f>
        <v>1.02263674669263</v>
      </c>
      <c r="N224" s="1" t="n">
        <f aca="false">Analysis!$C$35*G224+Analysis!$C$36*I224</f>
        <v>0.00457231552326007</v>
      </c>
      <c r="O224" s="1" t="n">
        <f aca="false">B224+Analysis!$C$42*N224</f>
        <v>0.00908340602227709</v>
      </c>
      <c r="P224" s="2" t="n">
        <f aca="false">1+O224</f>
        <v>1.00908340602228</v>
      </c>
    </row>
    <row r="225" customFormat="false" ht="15" hidden="false" customHeight="false" outlineLevel="0" collapsed="false">
      <c r="A225" s="6" t="n">
        <v>32721</v>
      </c>
      <c r="B225" s="1" t="n">
        <v>0.0074</v>
      </c>
      <c r="C225" s="1" t="n">
        <v>0.0217</v>
      </c>
      <c r="D225" s="1" t="n">
        <v>0.0248</v>
      </c>
      <c r="E225" s="1" t="n">
        <v>0.0128</v>
      </c>
      <c r="G225" s="1" t="n">
        <f aca="false">C225-$B225</f>
        <v>0.0143</v>
      </c>
      <c r="I225" s="1" t="n">
        <f aca="false">D225-E225</f>
        <v>0.012</v>
      </c>
      <c r="K225" s="1" t="n">
        <f aca="false">(1-Analysis!$C$21)*B225 + Analysis!$C$21*C225</f>
        <v>0.0105142824192839</v>
      </c>
      <c r="L225" s="2" t="n">
        <f aca="false">1+K225</f>
        <v>1.01051428241928</v>
      </c>
      <c r="N225" s="1" t="n">
        <f aca="false">Analysis!$C$35*G225+Analysis!$C$36*I225</f>
        <v>0.0129424611563082</v>
      </c>
      <c r="O225" s="1" t="n">
        <f aca="false">B225+Analysis!$C$42*N225</f>
        <v>0.0132973186296894</v>
      </c>
      <c r="P225" s="2" t="n">
        <f aca="false">1+O225</f>
        <v>1.01329731862969</v>
      </c>
    </row>
    <row r="226" customFormat="false" ht="15" hidden="false" customHeight="false" outlineLevel="0" collapsed="false">
      <c r="A226" s="6" t="n">
        <v>32752</v>
      </c>
      <c r="B226" s="1" t="n">
        <v>0.0065</v>
      </c>
      <c r="C226" s="1" t="n">
        <v>-0.0011</v>
      </c>
      <c r="D226" s="1" t="n">
        <v>0.0004</v>
      </c>
      <c r="E226" s="1" t="n">
        <v>0.0058</v>
      </c>
      <c r="G226" s="1" t="n">
        <f aca="false">C226-$B226</f>
        <v>-0.0076</v>
      </c>
      <c r="I226" s="1" t="n">
        <f aca="false">D226-E226</f>
        <v>-0.0054</v>
      </c>
      <c r="K226" s="1" t="n">
        <f aca="false">(1-Analysis!$C$21)*B226 + Analysis!$C$21*C226</f>
        <v>0.0048448568960449</v>
      </c>
      <c r="L226" s="2" t="n">
        <f aca="false">1+K226</f>
        <v>1.00484485689604</v>
      </c>
      <c r="N226" s="1" t="n">
        <f aca="false">Analysis!$C$35*G226+Analysis!$C$36*I226</f>
        <v>-0.00630148458429475</v>
      </c>
      <c r="O226" s="1" t="n">
        <f aca="false">B226+Analysis!$C$42*N226</f>
        <v>0.00362868657785776</v>
      </c>
      <c r="P226" s="2" t="n">
        <f aca="false">1+O226</f>
        <v>1.00362868657786</v>
      </c>
    </row>
    <row r="227" customFormat="false" ht="15" hidden="false" customHeight="false" outlineLevel="0" collapsed="false">
      <c r="A227" s="6" t="n">
        <v>32782</v>
      </c>
      <c r="B227" s="1" t="n">
        <v>0.0068</v>
      </c>
      <c r="C227" s="1" t="n">
        <v>-0.0297</v>
      </c>
      <c r="D227" s="1" t="n">
        <v>-0.0271</v>
      </c>
      <c r="E227" s="1" t="n">
        <v>-0.0171</v>
      </c>
      <c r="G227" s="1" t="n">
        <f aca="false">C227-$B227</f>
        <v>-0.0365</v>
      </c>
      <c r="I227" s="1" t="n">
        <f aca="false">D227-E227</f>
        <v>-0.01</v>
      </c>
      <c r="K227" s="1" t="n">
        <f aca="false">(1-Analysis!$C$21)*B227 + Analysis!$C$21*C227</f>
        <v>-0.00114904253873175</v>
      </c>
      <c r="L227" s="2" t="n">
        <f aca="false">1+K227</f>
        <v>0.998850957461268</v>
      </c>
      <c r="N227" s="1" t="n">
        <f aca="false">Analysis!$C$35*G227+Analysis!$C$36*I227</f>
        <v>-0.0208587915835504</v>
      </c>
      <c r="O227" s="1" t="n">
        <f aca="false">B227+Analysis!$C$42*N227</f>
        <v>-0.00270444731592068</v>
      </c>
      <c r="P227" s="2" t="n">
        <f aca="false">1+O227</f>
        <v>0.997295552684079</v>
      </c>
    </row>
    <row r="228" customFormat="false" ht="15" hidden="false" customHeight="false" outlineLevel="0" collapsed="false">
      <c r="A228" s="6" t="n">
        <v>32813</v>
      </c>
      <c r="B228" s="1" t="n">
        <v>0.0069</v>
      </c>
      <c r="C228" s="1" t="n">
        <v>0.0173</v>
      </c>
      <c r="D228" s="1" t="n">
        <v>0.0079</v>
      </c>
      <c r="E228" s="1" t="n">
        <v>0.0217</v>
      </c>
      <c r="G228" s="1" t="n">
        <f aca="false">C228-$B228</f>
        <v>0.0104</v>
      </c>
      <c r="I228" s="1" t="n">
        <f aca="false">D228-E228</f>
        <v>-0.0138</v>
      </c>
      <c r="K228" s="1" t="n">
        <f aca="false">(1-Analysis!$C$21)*B228 + Analysis!$C$21*C228</f>
        <v>0.00916493266857014</v>
      </c>
      <c r="L228" s="2" t="n">
        <f aca="false">1+K228</f>
        <v>1.00916493266857</v>
      </c>
      <c r="N228" s="1" t="n">
        <f aca="false">Analysis!$C$35*G228+Analysis!$C$36*I228</f>
        <v>-0.00388366957275774</v>
      </c>
      <c r="O228" s="1" t="n">
        <f aca="false">B228+Analysis!$C$42*N228</f>
        <v>0.00513038009182518</v>
      </c>
      <c r="P228" s="2" t="n">
        <f aca="false">1+O228</f>
        <v>1.00513038009183</v>
      </c>
    </row>
    <row r="229" customFormat="false" ht="15" hidden="false" customHeight="false" outlineLevel="0" collapsed="false">
      <c r="A229" s="6" t="n">
        <v>32843</v>
      </c>
      <c r="B229" s="1" t="n">
        <v>0.0061</v>
      </c>
      <c r="C229" s="1" t="n">
        <v>0.0179</v>
      </c>
      <c r="D229" s="1" t="n">
        <v>0.0219</v>
      </c>
      <c r="E229" s="1" t="n">
        <v>0.0153</v>
      </c>
      <c r="G229" s="1" t="n">
        <f aca="false">C229-$B229</f>
        <v>0.0118</v>
      </c>
      <c r="I229" s="1" t="n">
        <f aca="false">D229-E229</f>
        <v>0.0066</v>
      </c>
      <c r="K229" s="1" t="n">
        <f aca="false">(1-Analysis!$C$21)*B229 + Analysis!$C$21*C229</f>
        <v>0.00866982745087766</v>
      </c>
      <c r="L229" s="2" t="n">
        <f aca="false">1+K229</f>
        <v>1.00866982745088</v>
      </c>
      <c r="N229" s="1" t="n">
        <f aca="false">Analysis!$C$35*G229+Analysis!$C$36*I229</f>
        <v>0.00873078174469668</v>
      </c>
      <c r="O229" s="1" t="n">
        <f aca="false">B229+Analysis!$C$42*N229</f>
        <v>0.0100782388537173</v>
      </c>
      <c r="P229" s="2" t="n">
        <f aca="false">1+O229</f>
        <v>1.01007823885372</v>
      </c>
    </row>
    <row r="230" customFormat="false" ht="15" hidden="false" customHeight="false" outlineLevel="0" collapsed="false">
      <c r="A230" s="6" t="n">
        <v>32874</v>
      </c>
      <c r="B230" s="1" t="n">
        <v>0.0057</v>
      </c>
      <c r="C230" s="1" t="n">
        <v>-0.0723</v>
      </c>
      <c r="D230" s="1" t="n">
        <v>-0.0734</v>
      </c>
      <c r="E230" s="1" t="n">
        <v>-0.0771</v>
      </c>
      <c r="G230" s="1" t="n">
        <f aca="false">C230-$B230</f>
        <v>-0.078</v>
      </c>
      <c r="I230" s="1" t="n">
        <f aca="false">D230-E230</f>
        <v>0.00370000000000001</v>
      </c>
      <c r="K230" s="1" t="n">
        <f aca="false">(1-Analysis!$C$21)*B230 + Analysis!$C$21*C230</f>
        <v>-0.0112869950142761</v>
      </c>
      <c r="L230" s="2" t="n">
        <f aca="false">1+K230</f>
        <v>0.988713004985724</v>
      </c>
      <c r="N230" s="1" t="n">
        <f aca="false">Analysis!$C$35*G230+Analysis!$C$36*I230</f>
        <v>-0.029777859334946</v>
      </c>
      <c r="O230" s="1" t="n">
        <f aca="false">B230+Analysis!$C$42*N230</f>
        <v>-0.00786847994267735</v>
      </c>
      <c r="P230" s="2" t="n">
        <f aca="false">1+O230</f>
        <v>0.992131520057323</v>
      </c>
    </row>
    <row r="231" customFormat="false" ht="15" hidden="false" customHeight="false" outlineLevel="0" collapsed="false">
      <c r="A231" s="6" t="n">
        <v>32905</v>
      </c>
      <c r="B231" s="1" t="n">
        <v>0.0057</v>
      </c>
      <c r="C231" s="1" t="n">
        <v>0.0169</v>
      </c>
      <c r="D231" s="1" t="n">
        <v>0.0258</v>
      </c>
      <c r="E231" s="1" t="n">
        <v>0.0065</v>
      </c>
      <c r="G231" s="1" t="n">
        <f aca="false">C231-$B231</f>
        <v>0.0112</v>
      </c>
      <c r="I231" s="1" t="n">
        <f aca="false">D231-E231</f>
        <v>0.0193</v>
      </c>
      <c r="K231" s="1" t="n">
        <f aca="false">(1-Analysis!$C$21)*B231 + Analysis!$C$21*C231</f>
        <v>0.00813915825846015</v>
      </c>
      <c r="L231" s="2" t="n">
        <f aca="false">1+K231</f>
        <v>1.00813915825846</v>
      </c>
      <c r="N231" s="1" t="n">
        <f aca="false">Analysis!$C$35*G231+Analysis!$C$36*I231</f>
        <v>0.0159808976669148</v>
      </c>
      <c r="O231" s="1" t="n">
        <f aca="false">B231+Analysis!$C$42*N231</f>
        <v>0.012981802463384</v>
      </c>
      <c r="P231" s="2" t="n">
        <f aca="false">1+O231</f>
        <v>1.01298180246338</v>
      </c>
    </row>
    <row r="232" customFormat="false" ht="15" hidden="false" customHeight="false" outlineLevel="0" collapsed="false">
      <c r="A232" s="6" t="n">
        <v>32933</v>
      </c>
      <c r="B232" s="1" t="n">
        <v>0.0064</v>
      </c>
      <c r="C232" s="1" t="n">
        <v>0.0247</v>
      </c>
      <c r="D232" s="1" t="n">
        <v>0.0058</v>
      </c>
      <c r="E232" s="1" t="n">
        <v>0.0414</v>
      </c>
      <c r="G232" s="1" t="n">
        <f aca="false">C232-$B232</f>
        <v>0.0183</v>
      </c>
      <c r="I232" s="1" t="n">
        <f aca="false">D232-E232</f>
        <v>-0.0356</v>
      </c>
      <c r="K232" s="1" t="n">
        <f aca="false">(1-Analysis!$C$21)*B232 + Analysis!$C$21*C232</f>
        <v>0.010385410368734</v>
      </c>
      <c r="L232" s="2" t="n">
        <f aca="false">1+K232</f>
        <v>1.01038541036873</v>
      </c>
      <c r="N232" s="1" t="n">
        <f aca="false">Analysis!$C$35*G232+Analysis!$C$36*I232</f>
        <v>-0.0135136276847786</v>
      </c>
      <c r="O232" s="1" t="n">
        <f aca="false">B232+Analysis!$C$42*N232</f>
        <v>0.000242425537333862</v>
      </c>
      <c r="P232" s="2" t="n">
        <f aca="false">1+O232</f>
        <v>1.00024242553733</v>
      </c>
    </row>
    <row r="233" customFormat="false" ht="15" hidden="false" customHeight="false" outlineLevel="0" collapsed="false">
      <c r="A233" s="6" t="n">
        <v>32964</v>
      </c>
      <c r="B233" s="1" t="n">
        <v>0.0069</v>
      </c>
      <c r="C233" s="1" t="n">
        <v>-0.0267</v>
      </c>
      <c r="D233" s="1" t="n">
        <v>-0.0448</v>
      </c>
      <c r="E233" s="1" t="n">
        <v>-0.0114</v>
      </c>
      <c r="G233" s="1" t="n">
        <f aca="false">C233-$B233</f>
        <v>-0.0336</v>
      </c>
      <c r="I233" s="1" t="n">
        <f aca="false">D233-E233</f>
        <v>-0.0334</v>
      </c>
      <c r="K233" s="1" t="n">
        <f aca="false">(1-Analysis!$C$21)*B233 + Analysis!$C$21*C233</f>
        <v>-0.000417474775380459</v>
      </c>
      <c r="L233" s="2" t="n">
        <f aca="false">1+K233</f>
        <v>0.99958252522462</v>
      </c>
      <c r="N233" s="1" t="n">
        <f aca="false">Analysis!$C$35*G233+Analysis!$C$36*I233</f>
        <v>-0.0334819531440268</v>
      </c>
      <c r="O233" s="1" t="n">
        <f aca="false">B233+Analysis!$C$42*N233</f>
        <v>-0.00835627495806071</v>
      </c>
      <c r="P233" s="2" t="n">
        <f aca="false">1+O233</f>
        <v>0.991643725041939</v>
      </c>
    </row>
    <row r="234" customFormat="false" ht="15" hidden="false" customHeight="false" outlineLevel="0" collapsed="false">
      <c r="A234" s="6" t="n">
        <v>32994</v>
      </c>
      <c r="B234" s="1" t="n">
        <v>0.0068</v>
      </c>
      <c r="C234" s="1" t="n">
        <v>0.0911</v>
      </c>
      <c r="D234" s="1" t="n">
        <v>0.0705</v>
      </c>
      <c r="E234" s="1" t="n">
        <v>0.1063</v>
      </c>
      <c r="G234" s="1" t="n">
        <f aca="false">C234-$B234</f>
        <v>0.0843</v>
      </c>
      <c r="I234" s="1" t="n">
        <f aca="false">D234-E234</f>
        <v>-0.0358</v>
      </c>
      <c r="K234" s="1" t="n">
        <f aca="false">(1-Analysis!$C$21)*B234 + Analysis!$C$21*C234</f>
        <v>0.0251590215346599</v>
      </c>
      <c r="L234" s="2" t="n">
        <f aca="false">1+K234</f>
        <v>1.02515902153466</v>
      </c>
      <c r="N234" s="1" t="n">
        <f aca="false">Analysis!$C$35*G234+Analysis!$C$36*I234</f>
        <v>0.0134128629880907</v>
      </c>
      <c r="O234" s="1" t="n">
        <f aca="false">B234+Analysis!$C$42*N234</f>
        <v>0.0129116603574727</v>
      </c>
      <c r="P234" s="2" t="n">
        <f aca="false">1+O234</f>
        <v>1.01291166035747</v>
      </c>
    </row>
    <row r="235" customFormat="false" ht="15" hidden="false" customHeight="false" outlineLevel="0" collapsed="false">
      <c r="A235" s="6" t="n">
        <v>33025</v>
      </c>
      <c r="B235" s="1" t="n">
        <v>0.0063</v>
      </c>
      <c r="C235" s="1" t="n">
        <v>-0.0046</v>
      </c>
      <c r="D235" s="1" t="n">
        <v>-0.0141</v>
      </c>
      <c r="E235" s="1" t="n">
        <v>0.0127</v>
      </c>
      <c r="G235" s="1" t="n">
        <f aca="false">C235-$B235</f>
        <v>-0.0109</v>
      </c>
      <c r="I235" s="1" t="n">
        <f aca="false">D235-E235</f>
        <v>-0.0268</v>
      </c>
      <c r="K235" s="1" t="n">
        <f aca="false">(1-Analysis!$C$21)*B235 + Analysis!$C$21*C235</f>
        <v>0.0039261763377486</v>
      </c>
      <c r="L235" s="2" t="n">
        <f aca="false">1+K235</f>
        <v>1.00392617633775</v>
      </c>
      <c r="N235" s="1" t="n">
        <f aca="false">Analysis!$C$35*G235+Analysis!$C$36*I235</f>
        <v>-0.0202847250498698</v>
      </c>
      <c r="O235" s="1" t="n">
        <f aca="false">B235+Analysis!$C$42*N235</f>
        <v>-0.00294287007625432</v>
      </c>
      <c r="P235" s="2" t="n">
        <f aca="false">1+O235</f>
        <v>0.997057129923746</v>
      </c>
    </row>
    <row r="236" customFormat="false" ht="15" hidden="false" customHeight="false" outlineLevel="0" collapsed="false">
      <c r="A236" s="6" t="n">
        <v>33055</v>
      </c>
      <c r="B236" s="1" t="n">
        <v>0.0068</v>
      </c>
      <c r="C236" s="1" t="n">
        <v>-0.0122</v>
      </c>
      <c r="D236" s="1" t="n">
        <v>-0.0212</v>
      </c>
      <c r="E236" s="1" t="n">
        <v>-0.016</v>
      </c>
      <c r="G236" s="1" t="n">
        <f aca="false">C236-$B236</f>
        <v>-0.019</v>
      </c>
      <c r="I236" s="1" t="n">
        <f aca="false">D236-E236</f>
        <v>-0.0052</v>
      </c>
      <c r="K236" s="1" t="n">
        <f aca="false">(1-Analysis!$C$21)*B236 + Analysis!$C$21*C236</f>
        <v>0.00266214224011224</v>
      </c>
      <c r="L236" s="2" t="n">
        <f aca="false">1+K236</f>
        <v>1.00266214224011</v>
      </c>
      <c r="N236" s="1" t="n">
        <f aca="false">Analysis!$C$35*G236+Analysis!$C$36*I236</f>
        <v>-0.0108547669378489</v>
      </c>
      <c r="O236" s="1" t="n">
        <f aca="false">B236+Analysis!$C$42*N236</f>
        <v>0.00185395314612842</v>
      </c>
      <c r="P236" s="2" t="n">
        <f aca="false">1+O236</f>
        <v>1.00185395314613</v>
      </c>
    </row>
    <row r="237" customFormat="false" ht="15" hidden="false" customHeight="false" outlineLevel="0" collapsed="false">
      <c r="A237" s="6" t="n">
        <v>33086</v>
      </c>
      <c r="B237" s="1" t="n">
        <v>0.0066</v>
      </c>
      <c r="C237" s="1" t="n">
        <v>-0.0946</v>
      </c>
      <c r="D237" s="1" t="n">
        <v>-0.1017</v>
      </c>
      <c r="E237" s="1" t="n">
        <v>-0.1011</v>
      </c>
      <c r="G237" s="1" t="n">
        <f aca="false">C237-$B237</f>
        <v>-0.1012</v>
      </c>
      <c r="I237" s="1" t="n">
        <f aca="false">D237-E237</f>
        <v>-0.000600000000000003</v>
      </c>
      <c r="K237" s="1" t="n">
        <f aca="false">(1-Analysis!$C$21)*B237 + Analysis!$C$21*C237</f>
        <v>-0.0154395371210864</v>
      </c>
      <c r="L237" s="2" t="n">
        <f aca="false">1+K237</f>
        <v>0.984560462878914</v>
      </c>
      <c r="N237" s="1" t="n">
        <f aca="false">Analysis!$C$35*G237+Analysis!$C$36*I237</f>
        <v>-0.0418224314454782</v>
      </c>
      <c r="O237" s="1" t="n">
        <f aca="false">B237+Analysis!$C$42*N237</f>
        <v>-0.0124566694482305</v>
      </c>
      <c r="P237" s="2" t="n">
        <f aca="false">1+O237</f>
        <v>0.98754333055177</v>
      </c>
    </row>
    <row r="238" customFormat="false" ht="15" hidden="false" customHeight="false" outlineLevel="0" collapsed="false">
      <c r="A238" s="6" t="n">
        <v>33117</v>
      </c>
      <c r="B238" s="1" t="n">
        <v>0.006</v>
      </c>
      <c r="C238" s="1" t="n">
        <v>-0.0551</v>
      </c>
      <c r="D238" s="1" t="n">
        <v>-0.0668</v>
      </c>
      <c r="E238" s="1" t="n">
        <v>-0.0612</v>
      </c>
      <c r="G238" s="1" t="n">
        <f aca="false">C238-$B238</f>
        <v>-0.0611</v>
      </c>
      <c r="I238" s="1" t="n">
        <f aca="false">D238-E238</f>
        <v>-0.0056</v>
      </c>
      <c r="K238" s="1" t="n">
        <f aca="false">(1-Analysis!$C$21)*B238 + Analysis!$C$21*C238</f>
        <v>-0.00730647942784958</v>
      </c>
      <c r="L238" s="2" t="n">
        <f aca="false">1+K238</f>
        <v>0.99269352057215</v>
      </c>
      <c r="N238" s="1" t="n">
        <f aca="false">Analysis!$C$35*G238+Analysis!$C$36*I238</f>
        <v>-0.0283419974674358</v>
      </c>
      <c r="O238" s="1" t="n">
        <f aca="false">B238+Analysis!$C$42*N238</f>
        <v>-0.00691421991912677</v>
      </c>
      <c r="P238" s="2" t="n">
        <f aca="false">1+O238</f>
        <v>0.993085780080873</v>
      </c>
    </row>
    <row r="239" customFormat="false" ht="15" hidden="false" customHeight="false" outlineLevel="0" collapsed="false">
      <c r="A239" s="6" t="n">
        <v>33147</v>
      </c>
      <c r="B239" s="1" t="n">
        <v>0.0068</v>
      </c>
      <c r="C239" s="1" t="n">
        <v>-0.0124</v>
      </c>
      <c r="D239" s="1" t="n">
        <v>-0.003</v>
      </c>
      <c r="E239" s="1" t="n">
        <v>-0.001</v>
      </c>
      <c r="G239" s="1" t="n">
        <f aca="false">C239-$B239</f>
        <v>-0.0192</v>
      </c>
      <c r="I239" s="1" t="n">
        <f aca="false">D239-E239</f>
        <v>-0.002</v>
      </c>
      <c r="K239" s="1" t="n">
        <f aca="false">(1-Analysis!$C$21)*B239 + Analysis!$C$21*C239</f>
        <v>0.00261858584263974</v>
      </c>
      <c r="L239" s="2" t="n">
        <f aca="false">1+K239</f>
        <v>1.00261858584264</v>
      </c>
      <c r="N239" s="1" t="n">
        <f aca="false">Analysis!$C$35*G239+Analysis!$C$36*I239</f>
        <v>-0.00904797038630442</v>
      </c>
      <c r="O239" s="1" t="n">
        <f aca="false">B239+Analysis!$C$42*N239</f>
        <v>0.00267723202908558</v>
      </c>
      <c r="P239" s="2" t="n">
        <f aca="false">1+O239</f>
        <v>1.00267723202909</v>
      </c>
    </row>
    <row r="240" customFormat="false" ht="15" hidden="false" customHeight="false" outlineLevel="0" collapsed="false">
      <c r="A240" s="6" t="n">
        <v>33178</v>
      </c>
      <c r="B240" s="1" t="n">
        <v>0.0057</v>
      </c>
      <c r="C240" s="1" t="n">
        <v>0.0692</v>
      </c>
      <c r="D240" s="1" t="n">
        <v>0.0512</v>
      </c>
      <c r="E240" s="1" t="n">
        <v>0.0747</v>
      </c>
      <c r="G240" s="1" t="n">
        <f aca="false">C240-$B240</f>
        <v>0.0635</v>
      </c>
      <c r="I240" s="1" t="n">
        <f aca="false">D240-E240</f>
        <v>-0.0235</v>
      </c>
      <c r="K240" s="1" t="n">
        <f aca="false">(1-Analysis!$C$21)*B240 + Analysis!$C$21*C240</f>
        <v>0.0195291561975196</v>
      </c>
      <c r="L240" s="2" t="n">
        <f aca="false">1+K240</f>
        <v>1.01952915619752</v>
      </c>
      <c r="N240" s="1" t="n">
        <f aca="false">Analysis!$C$35*G240+Analysis!$C$36*I240</f>
        <v>0.0121496176516561</v>
      </c>
      <c r="O240" s="1" t="n">
        <f aca="false">B240+Analysis!$C$42*N240</f>
        <v>0.0112360542060265</v>
      </c>
      <c r="P240" s="2" t="n">
        <f aca="false">1+O240</f>
        <v>1.01123605420603</v>
      </c>
    </row>
    <row r="241" customFormat="false" ht="15" hidden="false" customHeight="false" outlineLevel="0" collapsed="false">
      <c r="A241" s="6" t="n">
        <v>33208</v>
      </c>
      <c r="B241" s="1" t="n">
        <v>0.006</v>
      </c>
      <c r="C241" s="1" t="n">
        <v>0.0306</v>
      </c>
      <c r="D241" s="1" t="n">
        <v>0.0204</v>
      </c>
      <c r="E241" s="1" t="n">
        <v>0.0379</v>
      </c>
      <c r="G241" s="1" t="n">
        <f aca="false">C241-$B241</f>
        <v>0.0246</v>
      </c>
      <c r="I241" s="1" t="n">
        <f aca="false">D241-E241</f>
        <v>-0.0175</v>
      </c>
      <c r="K241" s="1" t="n">
        <f aca="false">(1-Analysis!$C$21)*B241 + Analysis!$C$21*C241</f>
        <v>0.0113574368891178</v>
      </c>
      <c r="L241" s="2" t="n">
        <f aca="false">1+K241</f>
        <v>1.01135743688912</v>
      </c>
      <c r="N241" s="1" t="n">
        <f aca="false">Analysis!$C$35*G241+Analysis!$C$36*I241</f>
        <v>-0.000248863182359539</v>
      </c>
      <c r="O241" s="1" t="n">
        <f aca="false">B241+Analysis!$C$42*N241</f>
        <v>0.00588660383339398</v>
      </c>
      <c r="P241" s="2" t="n">
        <f aca="false">1+O241</f>
        <v>1.00588660383339</v>
      </c>
    </row>
    <row r="242" customFormat="false" ht="15" hidden="false" customHeight="false" outlineLevel="0" collapsed="false">
      <c r="A242" s="6" t="n">
        <v>33239</v>
      </c>
      <c r="B242" s="1" t="n">
        <v>0.0052</v>
      </c>
      <c r="C242" s="1" t="n">
        <v>0.0521</v>
      </c>
      <c r="D242" s="1" t="n">
        <v>0.0503</v>
      </c>
      <c r="E242" s="1" t="n">
        <v>0.0645</v>
      </c>
      <c r="G242" s="1" t="n">
        <f aca="false">C242-$B242</f>
        <v>0.0469</v>
      </c>
      <c r="I242" s="1" t="n">
        <f aca="false">D242-E242</f>
        <v>-0.0142</v>
      </c>
      <c r="K242" s="1" t="n">
        <f aca="false">(1-Analysis!$C$21)*B242 + Analysis!$C$21*C242</f>
        <v>0.0154139752073019</v>
      </c>
      <c r="L242" s="2" t="n">
        <f aca="false">1+K242</f>
        <v>1.0154139752073</v>
      </c>
      <c r="N242" s="1" t="n">
        <f aca="false">Analysis!$C$35*G242+Analysis!$C$36*I242</f>
        <v>0.010836685500186</v>
      </c>
      <c r="O242" s="1" t="n">
        <f aca="false">B242+Analysis!$C$42*N242</f>
        <v>0.0101378079263683</v>
      </c>
      <c r="P242" s="2" t="n">
        <f aca="false">1+O242</f>
        <v>1.01013780792637</v>
      </c>
    </row>
    <row r="243" customFormat="false" ht="15" hidden="false" customHeight="false" outlineLevel="0" collapsed="false">
      <c r="A243" s="6" t="n">
        <v>33270</v>
      </c>
      <c r="B243" s="1" t="n">
        <v>0.0048</v>
      </c>
      <c r="C243" s="1" t="n">
        <v>0.0767</v>
      </c>
      <c r="D243" s="1" t="n">
        <v>0.0773</v>
      </c>
      <c r="E243" s="1" t="n">
        <v>0.0818</v>
      </c>
      <c r="G243" s="1" t="n">
        <f aca="false">C243-$B243</f>
        <v>0.0719</v>
      </c>
      <c r="I243" s="1" t="n">
        <f aca="false">D243-E243</f>
        <v>-0.00449999999999999</v>
      </c>
      <c r="K243" s="1" t="n">
        <f aca="false">(1-Analysis!$C$21)*B243 + Analysis!$C$21*C243</f>
        <v>0.0204585248913647</v>
      </c>
      <c r="L243" s="2" t="n">
        <f aca="false">1+K243</f>
        <v>1.02045852489136</v>
      </c>
      <c r="N243" s="1" t="n">
        <f aca="false">Analysis!$C$35*G243+Analysis!$C$36*I243</f>
        <v>0.0268061010182359</v>
      </c>
      <c r="O243" s="1" t="n">
        <f aca="false">B243+Analysis!$C$42*N243</f>
        <v>0.0170143784721447</v>
      </c>
      <c r="P243" s="2" t="n">
        <f aca="false">1+O243</f>
        <v>1.01701437847214</v>
      </c>
    </row>
    <row r="244" customFormat="false" ht="15" hidden="false" customHeight="false" outlineLevel="0" collapsed="false">
      <c r="A244" s="6" t="n">
        <v>33298</v>
      </c>
      <c r="B244" s="1" t="n">
        <v>0.0044</v>
      </c>
      <c r="C244" s="1" t="n">
        <v>0.031</v>
      </c>
      <c r="D244" s="1" t="n">
        <v>0.0322</v>
      </c>
      <c r="E244" s="1" t="n">
        <v>0.0438</v>
      </c>
      <c r="G244" s="1" t="n">
        <f aca="false">C244-$B244</f>
        <v>0.0266</v>
      </c>
      <c r="I244" s="1" t="n">
        <f aca="false">D244-E244</f>
        <v>-0.0116</v>
      </c>
      <c r="K244" s="1" t="n">
        <f aca="false">(1-Analysis!$C$21)*B244 + Analysis!$C$21*C244</f>
        <v>0.0101930008638429</v>
      </c>
      <c r="L244" s="2" t="n">
        <f aca="false">1+K244</f>
        <v>1.01019300086384</v>
      </c>
      <c r="N244" s="1" t="n">
        <f aca="false">Analysis!$C$35*G244+Analysis!$C$36*I244</f>
        <v>0.00405305050911795</v>
      </c>
      <c r="O244" s="1" t="n">
        <f aca="false">B244+Analysis!$C$42*N244</f>
        <v>0.00624679945999634</v>
      </c>
      <c r="P244" s="2" t="n">
        <f aca="false">1+O244</f>
        <v>1.00624679946</v>
      </c>
    </row>
    <row r="245" customFormat="false" ht="15" hidden="false" customHeight="false" outlineLevel="0" collapsed="false">
      <c r="A245" s="6" t="n">
        <v>33329</v>
      </c>
      <c r="B245" s="1" t="n">
        <v>0.0053</v>
      </c>
      <c r="C245" s="1" t="n">
        <v>0.0025</v>
      </c>
      <c r="D245" s="1" t="n">
        <v>0.0055</v>
      </c>
      <c r="E245" s="1" t="n">
        <v>-0.0036</v>
      </c>
      <c r="G245" s="1" t="n">
        <f aca="false">C245-$B245</f>
        <v>-0.0028</v>
      </c>
      <c r="I245" s="1" t="n">
        <f aca="false">D245-E245</f>
        <v>0.0091</v>
      </c>
      <c r="K245" s="1" t="n">
        <f aca="false">(1-Analysis!$C$21)*B245 + Analysis!$C$21*C245</f>
        <v>0.00469021043538496</v>
      </c>
      <c r="L245" s="2" t="n">
        <f aca="false">1+K245</f>
        <v>1.00469021043539</v>
      </c>
      <c r="N245" s="1" t="n">
        <f aca="false">Analysis!$C$35*G245+Analysis!$C$36*I245</f>
        <v>0.00422378793040567</v>
      </c>
      <c r="O245" s="1" t="n">
        <f aca="false">B245+Analysis!$C$42*N245</f>
        <v>0.00722459710321</v>
      </c>
      <c r="P245" s="2" t="n">
        <f aca="false">1+O245</f>
        <v>1.00722459710321</v>
      </c>
    </row>
    <row r="246" customFormat="false" ht="15" hidden="false" customHeight="false" outlineLevel="0" collapsed="false">
      <c r="A246" s="6" t="n">
        <v>33359</v>
      </c>
      <c r="B246" s="1" t="n">
        <v>0.0047</v>
      </c>
      <c r="C246" s="1" t="n">
        <v>0.0413</v>
      </c>
      <c r="D246" s="1" t="n">
        <v>0.0489</v>
      </c>
      <c r="E246" s="1" t="n">
        <v>0.0472</v>
      </c>
      <c r="G246" s="1" t="n">
        <f aca="false">C246-$B246</f>
        <v>0.0366</v>
      </c>
      <c r="I246" s="1" t="n">
        <f aca="false">D246-E246</f>
        <v>0.0017</v>
      </c>
      <c r="K246" s="1" t="n">
        <f aca="false">(1-Analysis!$C$21)*B246 + Analysis!$C$21*C246</f>
        <v>0.012670820737468</v>
      </c>
      <c r="L246" s="2" t="n">
        <f aca="false">1+K246</f>
        <v>1.01267082073747</v>
      </c>
      <c r="N246" s="1" t="n">
        <f aca="false">Analysis!$C$35*G246+Analysis!$C$36*I246</f>
        <v>0.0160008236326758</v>
      </c>
      <c r="O246" s="1" t="n">
        <f aca="false">B246+Analysis!$C$42*N246</f>
        <v>0.0119908818624008</v>
      </c>
      <c r="P246" s="2" t="n">
        <f aca="false">1+O246</f>
        <v>1.0119908818624</v>
      </c>
    </row>
    <row r="247" customFormat="false" ht="15" hidden="false" customHeight="false" outlineLevel="0" collapsed="false">
      <c r="A247" s="6" t="n">
        <v>33390</v>
      </c>
      <c r="B247" s="1" t="n">
        <v>0.0042</v>
      </c>
      <c r="C247" s="1" t="n">
        <v>-0.0452</v>
      </c>
      <c r="D247" s="1" t="n">
        <v>-0.0383</v>
      </c>
      <c r="E247" s="1" t="n">
        <v>-0.0496</v>
      </c>
      <c r="G247" s="1" t="n">
        <f aca="false">C247-$B247</f>
        <v>-0.0494</v>
      </c>
      <c r="I247" s="1" t="n">
        <f aca="false">D247-E247</f>
        <v>0.0113</v>
      </c>
      <c r="K247" s="1" t="n">
        <f aca="false">(1-Analysis!$C$21)*B247 + Analysis!$C$21*C247</f>
        <v>-0.00655843017570817</v>
      </c>
      <c r="L247" s="2" t="n">
        <f aca="false">1+K247</f>
        <v>0.993441569824292</v>
      </c>
      <c r="N247" s="1" t="n">
        <f aca="false">Analysis!$C$35*G247+Analysis!$C$36*I247</f>
        <v>-0.0135727792121324</v>
      </c>
      <c r="O247" s="1" t="n">
        <f aca="false">B247+Analysis!$C$42*N247</f>
        <v>-0.0019845272500862</v>
      </c>
      <c r="P247" s="2" t="n">
        <f aca="false">1+O247</f>
        <v>0.998015472749914</v>
      </c>
    </row>
    <row r="248" customFormat="false" ht="15" hidden="false" customHeight="false" outlineLevel="0" collapsed="false">
      <c r="A248" s="6" t="n">
        <v>33420</v>
      </c>
      <c r="B248" s="1" t="n">
        <v>0.0049</v>
      </c>
      <c r="C248" s="1" t="n">
        <v>0.0473</v>
      </c>
      <c r="D248" s="1" t="n">
        <v>0.0391</v>
      </c>
      <c r="E248" s="1" t="n">
        <v>0.0532</v>
      </c>
      <c r="G248" s="1" t="n">
        <f aca="false">C248-$B248</f>
        <v>0.0424</v>
      </c>
      <c r="I248" s="1" t="n">
        <f aca="false">D248-E248</f>
        <v>-0.0141</v>
      </c>
      <c r="K248" s="1" t="n">
        <f aca="false">(1-Analysis!$C$21)*B248 + Analysis!$C$21*C248</f>
        <v>0.0141339562641706</v>
      </c>
      <c r="L248" s="2" t="n">
        <f aca="false">1+K248</f>
        <v>1.01413395626417</v>
      </c>
      <c r="N248" s="1" t="n">
        <f aca="false">Analysis!$C$35*G248+Analysis!$C$36*I248</f>
        <v>0.00905176318756975</v>
      </c>
      <c r="O248" s="1" t="n">
        <f aca="false">B248+Analysis!$C$42*N248</f>
        <v>0.00902449618607308</v>
      </c>
      <c r="P248" s="2" t="n">
        <f aca="false">1+O248</f>
        <v>1.00902449618607</v>
      </c>
    </row>
    <row r="249" customFormat="false" ht="15" hidden="false" customHeight="false" outlineLevel="0" collapsed="false">
      <c r="A249" s="6" t="n">
        <v>33451</v>
      </c>
      <c r="B249" s="1" t="n">
        <v>0.0046</v>
      </c>
      <c r="C249" s="1" t="n">
        <v>0.0278</v>
      </c>
      <c r="D249" s="1" t="n">
        <v>0.024</v>
      </c>
      <c r="E249" s="1" t="n">
        <v>0.0344</v>
      </c>
      <c r="G249" s="1" t="n">
        <f aca="false">C249-$B249</f>
        <v>0.0232</v>
      </c>
      <c r="I249" s="1" t="n">
        <f aca="false">D249-E249</f>
        <v>-0.0104</v>
      </c>
      <c r="K249" s="1" t="n">
        <f aca="false">(1-Analysis!$C$21)*B249 + Analysis!$C$21*C249</f>
        <v>0.00965254210681032</v>
      </c>
      <c r="L249" s="2" t="n">
        <f aca="false">1+K249</f>
        <v>1.00965254210681</v>
      </c>
      <c r="N249" s="1" t="n">
        <f aca="false">Analysis!$C$35*G249+Analysis!$C$36*I249</f>
        <v>0.00336812819650165</v>
      </c>
      <c r="O249" s="1" t="n">
        <f aca="false">B249+Analysis!$C$42*N249</f>
        <v>0.00613471004629828</v>
      </c>
      <c r="P249" s="2" t="n">
        <f aca="false">1+O249</f>
        <v>1.0061347100463</v>
      </c>
    </row>
    <row r="250" customFormat="false" ht="15" hidden="false" customHeight="false" outlineLevel="0" collapsed="false">
      <c r="A250" s="6" t="n">
        <v>33482</v>
      </c>
      <c r="B250" s="1" t="n">
        <v>0.0046</v>
      </c>
      <c r="C250" s="1" t="n">
        <v>-0.0113</v>
      </c>
      <c r="D250" s="1" t="n">
        <v>-0.0183</v>
      </c>
      <c r="E250" s="1" t="n">
        <v>-0.0193</v>
      </c>
      <c r="G250" s="1" t="n">
        <f aca="false">C250-$B250</f>
        <v>-0.0159</v>
      </c>
      <c r="I250" s="1" t="n">
        <f aca="false">D250-E250</f>
        <v>0.001</v>
      </c>
      <c r="K250" s="1" t="n">
        <f aca="false">(1-Analysis!$C$21)*B250 + Analysis!$C$21*C250</f>
        <v>0.00113726640093603</v>
      </c>
      <c r="L250" s="2" t="n">
        <f aca="false">1+K250</f>
        <v>1.00113726640094</v>
      </c>
      <c r="N250" s="1" t="n">
        <f aca="false">Analysis!$C$35*G250+Analysis!$C$36*I250</f>
        <v>-0.00592504067026422</v>
      </c>
      <c r="O250" s="1" t="n">
        <f aca="false">B250+Analysis!$C$42*N250</f>
        <v>0.00190021575460661</v>
      </c>
      <c r="P250" s="2" t="n">
        <f aca="false">1+O250</f>
        <v>1.00190021575461</v>
      </c>
    </row>
    <row r="251" customFormat="false" ht="15" hidden="false" customHeight="false" outlineLevel="0" collapsed="false">
      <c r="A251" s="6" t="n">
        <v>33512</v>
      </c>
      <c r="B251" s="1" t="n">
        <v>0.0042</v>
      </c>
      <c r="C251" s="1" t="n">
        <v>0.0171</v>
      </c>
      <c r="D251" s="1" t="n">
        <v>0.0181</v>
      </c>
      <c r="E251" s="1" t="n">
        <v>0.0161</v>
      </c>
      <c r="G251" s="1" t="n">
        <f aca="false">C251-$B251</f>
        <v>0.0129</v>
      </c>
      <c r="I251" s="1" t="n">
        <f aca="false">D251-E251</f>
        <v>0.002</v>
      </c>
      <c r="K251" s="1" t="n">
        <f aca="false">(1-Analysis!$C$21)*B251 + Analysis!$C$21*C251</f>
        <v>0.00700938763697643</v>
      </c>
      <c r="L251" s="2" t="n">
        <f aca="false">1+K251</f>
        <v>1.00700938763698</v>
      </c>
      <c r="N251" s="1" t="n">
        <f aca="false">Analysis!$C$35*G251+Analysis!$C$36*I251</f>
        <v>0.00646644634946036</v>
      </c>
      <c r="O251" s="1" t="n">
        <f aca="false">B251+Analysis!$C$42*N251</f>
        <v>0.00714647934917486</v>
      </c>
      <c r="P251" s="2" t="n">
        <f aca="false">1+O251</f>
        <v>1.00714647934918</v>
      </c>
    </row>
    <row r="252" customFormat="false" ht="15" hidden="false" customHeight="false" outlineLevel="0" collapsed="false">
      <c r="A252" s="6" t="n">
        <v>33543</v>
      </c>
      <c r="B252" s="1" t="n">
        <v>0.0039</v>
      </c>
      <c r="C252" s="1" t="n">
        <v>-0.0381</v>
      </c>
      <c r="D252" s="1" t="n">
        <v>-0.0552</v>
      </c>
      <c r="E252" s="1" t="n">
        <v>-0.027</v>
      </c>
      <c r="G252" s="1" t="n">
        <f aca="false">C252-$B252</f>
        <v>-0.042</v>
      </c>
      <c r="I252" s="1" t="n">
        <f aca="false">D252-E252</f>
        <v>-0.0282</v>
      </c>
      <c r="K252" s="1" t="n">
        <f aca="false">(1-Analysis!$C$21)*B252 + Analysis!$C$21*C252</f>
        <v>-0.00524684346922557</v>
      </c>
      <c r="L252" s="2" t="n">
        <f aca="false">1+K252</f>
        <v>0.994753156530775</v>
      </c>
      <c r="N252" s="1" t="n">
        <f aca="false">Analysis!$C$35*G252+Analysis!$C$36*I252</f>
        <v>-0.0338547669378489</v>
      </c>
      <c r="O252" s="1" t="n">
        <f aca="false">B252+Analysis!$C$42*N252</f>
        <v>-0.011526150046358</v>
      </c>
      <c r="P252" s="2" t="n">
        <f aca="false">1+O252</f>
        <v>0.988473849953642</v>
      </c>
    </row>
    <row r="253" customFormat="false" ht="15" hidden="false" customHeight="false" outlineLevel="0" collapsed="false">
      <c r="A253" s="6" t="n">
        <v>33573</v>
      </c>
      <c r="B253" s="1" t="n">
        <v>0.0038</v>
      </c>
      <c r="C253" s="1" t="n">
        <v>0.1123</v>
      </c>
      <c r="D253" s="1" t="n">
        <v>0.0868</v>
      </c>
      <c r="E253" s="1" t="n">
        <v>0.1418</v>
      </c>
      <c r="G253" s="1" t="n">
        <f aca="false">C253-$B253</f>
        <v>0.1085</v>
      </c>
      <c r="I253" s="1" t="n">
        <f aca="false">D253-E253</f>
        <v>-0.055</v>
      </c>
      <c r="K253" s="1" t="n">
        <f aca="false">(1-Analysis!$C$21)*B253 + Analysis!$C$21*C253</f>
        <v>0.0274293456288327</v>
      </c>
      <c r="L253" s="2" t="n">
        <f aca="false">1+K253</f>
        <v>1.02742934562883</v>
      </c>
      <c r="N253" s="1" t="n">
        <f aca="false">Analysis!$C$35*G253+Analysis!$C$36*I253</f>
        <v>0.0119966952419054</v>
      </c>
      <c r="O253" s="1" t="n">
        <f aca="false">B253+Analysis!$C$42*N253</f>
        <v>0.00926637409147735</v>
      </c>
      <c r="P253" s="2" t="n">
        <f aca="false">1+O253</f>
        <v>1.00926637409148</v>
      </c>
    </row>
    <row r="254" customFormat="false" ht="15" hidden="false" customHeight="false" outlineLevel="0" collapsed="false">
      <c r="A254" s="6" t="n">
        <v>33604</v>
      </c>
      <c r="B254" s="1" t="n">
        <v>0.0034</v>
      </c>
      <c r="C254" s="1" t="n">
        <v>-0.0025</v>
      </c>
      <c r="D254" s="1" t="n">
        <v>0.0525</v>
      </c>
      <c r="E254" s="1" t="n">
        <v>-0.0164</v>
      </c>
      <c r="G254" s="1" t="n">
        <f aca="false">C254-$B254</f>
        <v>-0.0059</v>
      </c>
      <c r="I254" s="1" t="n">
        <f aca="false">D254-E254</f>
        <v>0.0689</v>
      </c>
      <c r="K254" s="1" t="n">
        <f aca="false">(1-Analysis!$C$21)*B254 + Analysis!$C$21*C254</f>
        <v>0.00211508627456117</v>
      </c>
      <c r="L254" s="2" t="n">
        <f aca="false">1+K254</f>
        <v>1.00211508627456</v>
      </c>
      <c r="N254" s="1" t="n">
        <f aca="false">Analysis!$C$35*G254+Analysis!$C$36*I254</f>
        <v>0.0382495241339785</v>
      </c>
      <c r="O254" s="1" t="n">
        <f aca="false">B254+Analysis!$C$42*N254</f>
        <v>0.0208286504342432</v>
      </c>
      <c r="P254" s="2" t="n">
        <f aca="false">1+O254</f>
        <v>1.02082865043424</v>
      </c>
    </row>
    <row r="255" customFormat="false" ht="15" hidden="false" customHeight="false" outlineLevel="0" collapsed="false">
      <c r="A255" s="6" t="n">
        <v>33635</v>
      </c>
      <c r="B255" s="1" t="n">
        <v>0.0028</v>
      </c>
      <c r="C255" s="1" t="n">
        <v>0.0136</v>
      </c>
      <c r="D255" s="1" t="n">
        <v>0.0697</v>
      </c>
      <c r="E255" s="1" t="n">
        <v>0.0036</v>
      </c>
      <c r="G255" s="1" t="n">
        <f aca="false">C255-$B255</f>
        <v>0.0108</v>
      </c>
      <c r="I255" s="1" t="n">
        <f aca="false">D255-E255</f>
        <v>0.0661</v>
      </c>
      <c r="K255" s="1" t="n">
        <f aca="false">(1-Analysis!$C$21)*B255 + Analysis!$C$21*C255</f>
        <v>0.00515204546351515</v>
      </c>
      <c r="L255" s="2" t="n">
        <f aca="false">1+K255</f>
        <v>1.00515204546352</v>
      </c>
      <c r="N255" s="1" t="n">
        <f aca="false">Analysis!$C$35*G255+Analysis!$C$36*I255</f>
        <v>0.043439955676591</v>
      </c>
      <c r="O255" s="1" t="n">
        <f aca="false">B255+Analysis!$C$42*N255</f>
        <v>0.0225937051377265</v>
      </c>
      <c r="P255" s="2" t="n">
        <f aca="false">1+O255</f>
        <v>1.02259370513773</v>
      </c>
    </row>
    <row r="256" customFormat="false" ht="15" hidden="false" customHeight="false" outlineLevel="0" collapsed="false">
      <c r="A256" s="6" t="n">
        <v>33664</v>
      </c>
      <c r="B256" s="1" t="n">
        <v>0.0034</v>
      </c>
      <c r="C256" s="1" t="n">
        <v>-0.0231</v>
      </c>
      <c r="D256" s="1" t="n">
        <v>-0.0108</v>
      </c>
      <c r="E256" s="1" t="n">
        <v>-0.0303</v>
      </c>
      <c r="G256" s="1" t="n">
        <f aca="false">C256-$B256</f>
        <v>-0.0265</v>
      </c>
      <c r="I256" s="1" t="n">
        <f aca="false">D256-E256</f>
        <v>0.0195</v>
      </c>
      <c r="K256" s="1" t="n">
        <f aca="false">(1-Analysis!$C$21)*B256 + Analysis!$C$21*C256</f>
        <v>-0.00237122266510661</v>
      </c>
      <c r="L256" s="2" t="n">
        <f aca="false">1+K256</f>
        <v>0.997628777334893</v>
      </c>
      <c r="N256" s="1" t="n">
        <f aca="false">Analysis!$C$35*G256+Analysis!$C$36*I256</f>
        <v>0.000650776873837026</v>
      </c>
      <c r="O256" s="1" t="n">
        <f aca="false">B256+Analysis!$C$42*N256</f>
        <v>0.00369653081709112</v>
      </c>
      <c r="P256" s="2" t="n">
        <f aca="false">1+O256</f>
        <v>1.00369653081709</v>
      </c>
    </row>
    <row r="257" customFormat="false" ht="15" hidden="false" customHeight="false" outlineLevel="0" collapsed="false">
      <c r="A257" s="6" t="n">
        <v>33695</v>
      </c>
      <c r="B257" s="1" t="n">
        <v>0.0032</v>
      </c>
      <c r="C257" s="1" t="n">
        <v>0.0141</v>
      </c>
      <c r="D257" s="1" t="n">
        <v>0.031</v>
      </c>
      <c r="E257" s="1" t="n">
        <v>-0.0026</v>
      </c>
      <c r="G257" s="1" t="n">
        <f aca="false">C257-$B257</f>
        <v>0.0109</v>
      </c>
      <c r="I257" s="1" t="n">
        <f aca="false">D257-E257</f>
        <v>0.0336</v>
      </c>
      <c r="K257" s="1" t="n">
        <f aca="false">(1-Analysis!$C$21)*B257 + Analysis!$C$21*C257</f>
        <v>0.0055738236622514</v>
      </c>
      <c r="L257" s="2" t="n">
        <f aca="false">1+K257</f>
        <v>1.00557382366225</v>
      </c>
      <c r="N257" s="1" t="n">
        <f aca="false">Analysis!$C$35*G257+Analysis!$C$36*I257</f>
        <v>0.0242983181529587</v>
      </c>
      <c r="O257" s="1" t="n">
        <f aca="false">B257+Analysis!$C$42*N257</f>
        <v>0.0142716905063858</v>
      </c>
      <c r="P257" s="2" t="n">
        <f aca="false">1+O257</f>
        <v>1.01427169050639</v>
      </c>
    </row>
    <row r="258" customFormat="false" ht="15" hidden="false" customHeight="false" outlineLevel="0" collapsed="false">
      <c r="A258" s="6" t="n">
        <v>33725</v>
      </c>
      <c r="B258" s="1" t="n">
        <v>0.0028</v>
      </c>
      <c r="C258" s="1" t="n">
        <v>0.0058</v>
      </c>
      <c r="D258" s="1" t="n">
        <v>0.0049</v>
      </c>
      <c r="E258" s="1" t="n">
        <v>0.0081</v>
      </c>
      <c r="G258" s="1" t="n">
        <f aca="false">C258-$B258</f>
        <v>0.003</v>
      </c>
      <c r="I258" s="1" t="n">
        <f aca="false">D258-E258</f>
        <v>-0.0032</v>
      </c>
      <c r="K258" s="1" t="n">
        <f aca="false">(1-Analysis!$C$21)*B258 + Analysis!$C$21*C258</f>
        <v>0.00345334596208754</v>
      </c>
      <c r="L258" s="2" t="n">
        <f aca="false">1+K258</f>
        <v>1.00345334596209</v>
      </c>
      <c r="N258" s="1" t="n">
        <f aca="false">Analysis!$C$35*G258+Analysis!$C$36*I258</f>
        <v>-0.000659452535169339</v>
      </c>
      <c r="O258" s="1" t="n">
        <f aca="false">B258+Analysis!$C$42*N258</f>
        <v>0.0024995160600382</v>
      </c>
      <c r="P258" s="2" t="n">
        <f aca="false">1+O258</f>
        <v>1.00249951606004</v>
      </c>
    </row>
    <row r="259" customFormat="false" ht="15" hidden="false" customHeight="false" outlineLevel="0" collapsed="false">
      <c r="A259" s="6" t="n">
        <v>33756</v>
      </c>
      <c r="B259" s="1" t="n">
        <v>0.0032</v>
      </c>
      <c r="C259" s="1" t="n">
        <v>-0.0201</v>
      </c>
      <c r="D259" s="1" t="n">
        <v>0.0002</v>
      </c>
      <c r="E259" s="1" t="n">
        <v>-0.027</v>
      </c>
      <c r="G259" s="1" t="n">
        <f aca="false">C259-$B259</f>
        <v>-0.0233</v>
      </c>
      <c r="I259" s="1" t="n">
        <f aca="false">D259-E259</f>
        <v>0.0272</v>
      </c>
      <c r="K259" s="1" t="n">
        <f aca="false">(1-Analysis!$C$21)*B259 + Analysis!$C$21*C259</f>
        <v>-0.00187432030554657</v>
      </c>
      <c r="L259" s="2" t="n">
        <f aca="false">1+K259</f>
        <v>0.998125679694453</v>
      </c>
      <c r="N259" s="1" t="n">
        <f aca="false">Analysis!$C$35*G259+Analysis!$C$36*I259</f>
        <v>0.00650683113323412</v>
      </c>
      <c r="O259" s="1" t="n">
        <f aca="false">B259+Analysis!$C$42*N259</f>
        <v>0.00616488094488596</v>
      </c>
      <c r="P259" s="2" t="n">
        <f aca="false">1+O259</f>
        <v>1.00616488094489</v>
      </c>
    </row>
    <row r="260" customFormat="false" ht="15" hidden="false" customHeight="false" outlineLevel="0" collapsed="false">
      <c r="A260" s="6" t="n">
        <v>33786</v>
      </c>
      <c r="B260" s="1" t="n">
        <v>0.0031</v>
      </c>
      <c r="C260" s="1" t="n">
        <v>0.0409</v>
      </c>
      <c r="D260" s="1" t="n">
        <v>0.0246</v>
      </c>
      <c r="E260" s="1" t="n">
        <v>0.0418</v>
      </c>
      <c r="G260" s="1" t="n">
        <f aca="false">C260-$B260</f>
        <v>0.0378</v>
      </c>
      <c r="I260" s="1" t="n">
        <f aca="false">D260-E260</f>
        <v>-0.0172</v>
      </c>
      <c r="K260" s="1" t="n">
        <f aca="false">(1-Analysis!$C$21)*B260 + Analysis!$C$21*C260</f>
        <v>0.011332159122303</v>
      </c>
      <c r="L260" s="2" t="n">
        <f aca="false">1+K260</f>
        <v>1.0113321591223</v>
      </c>
      <c r="N260" s="1" t="n">
        <f aca="false">Analysis!$C$35*G260+Analysis!$C$36*I260</f>
        <v>0.00533711460736878</v>
      </c>
      <c r="O260" s="1" t="n">
        <f aca="false">B260+Analysis!$C$42*N260</f>
        <v>0.00553189181892833</v>
      </c>
      <c r="P260" s="2" t="n">
        <f aca="false">1+O260</f>
        <v>1.00553189181893</v>
      </c>
    </row>
    <row r="261" customFormat="false" ht="15" hidden="false" customHeight="false" outlineLevel="0" collapsed="false">
      <c r="A261" s="6" t="n">
        <v>33817</v>
      </c>
      <c r="B261" s="1" t="n">
        <v>0.0026</v>
      </c>
      <c r="C261" s="1" t="n">
        <v>-0.0212</v>
      </c>
      <c r="D261" s="1" t="n">
        <v>-0.0448</v>
      </c>
      <c r="E261" s="1" t="n">
        <v>-0.0139</v>
      </c>
      <c r="G261" s="1" t="n">
        <f aca="false">C261-$B261</f>
        <v>-0.0238</v>
      </c>
      <c r="I261" s="1" t="n">
        <f aca="false">D261-E261</f>
        <v>-0.0309</v>
      </c>
      <c r="K261" s="1" t="n">
        <f aca="false">(1-Analysis!$C$21)*B261 + Analysis!$C$21*C261</f>
        <v>-0.00258321129922782</v>
      </c>
      <c r="L261" s="2" t="n">
        <f aca="false">1+K261</f>
        <v>0.997416788700772</v>
      </c>
      <c r="N261" s="1" t="n">
        <f aca="false">Analysis!$C$35*G261+Analysis!$C$36*I261</f>
        <v>-0.0279906633870488</v>
      </c>
      <c r="O261" s="1" t="n">
        <f aca="false">B261+Analysis!$C$42*N261</f>
        <v>-0.0101541322053227</v>
      </c>
      <c r="P261" s="2" t="n">
        <f aca="false">1+O261</f>
        <v>0.989845867794677</v>
      </c>
    </row>
    <row r="262" customFormat="false" ht="15" hidden="false" customHeight="false" outlineLevel="0" collapsed="false">
      <c r="A262" s="6" t="n">
        <v>33848</v>
      </c>
      <c r="B262" s="1" t="n">
        <v>0.0026</v>
      </c>
      <c r="C262" s="1" t="n">
        <v>0.0145</v>
      </c>
      <c r="D262" s="1" t="n">
        <v>0.0118</v>
      </c>
      <c r="E262" s="1" t="n">
        <v>0.0167</v>
      </c>
      <c r="G262" s="1" t="n">
        <f aca="false">C262-$B262</f>
        <v>0.0119</v>
      </c>
      <c r="I262" s="1" t="n">
        <f aca="false">D262-E262</f>
        <v>-0.0049</v>
      </c>
      <c r="K262" s="1" t="n">
        <f aca="false">(1-Analysis!$C$21)*B262 + Analysis!$C$21*C262</f>
        <v>0.00519160564961391</v>
      </c>
      <c r="L262" s="2" t="n">
        <f aca="false">1+K262</f>
        <v>1.00519160564961</v>
      </c>
      <c r="N262" s="1" t="n">
        <f aca="false">Analysis!$C$35*G262+Analysis!$C$36*I262</f>
        <v>0.00198406409825083</v>
      </c>
      <c r="O262" s="1" t="n">
        <f aca="false">B262+Analysis!$C$42*N262</f>
        <v>0.00350405202131201</v>
      </c>
      <c r="P262" s="2" t="n">
        <f aca="false">1+O262</f>
        <v>1.00350405202131</v>
      </c>
    </row>
    <row r="263" customFormat="false" ht="15" hidden="false" customHeight="false" outlineLevel="0" collapsed="false">
      <c r="A263" s="6" t="n">
        <v>33878</v>
      </c>
      <c r="B263" s="1" t="n">
        <v>0.0023</v>
      </c>
      <c r="C263" s="1" t="n">
        <v>0.0125</v>
      </c>
      <c r="D263" s="1" t="n">
        <v>0.0116</v>
      </c>
      <c r="E263" s="1" t="n">
        <v>0.0258</v>
      </c>
      <c r="G263" s="1" t="n">
        <f aca="false">C263-$B263</f>
        <v>0.0102</v>
      </c>
      <c r="I263" s="1" t="n">
        <f aca="false">D263-E263</f>
        <v>-0.0142</v>
      </c>
      <c r="K263" s="1" t="n">
        <f aca="false">(1-Analysis!$C$21)*B263 + Analysis!$C$21*C263</f>
        <v>0.00452137627109764</v>
      </c>
      <c r="L263" s="2" t="n">
        <f aca="false">1+K263</f>
        <v>1.0045213762711</v>
      </c>
      <c r="N263" s="1" t="n">
        <f aca="false">Analysis!$C$35*G263+Analysis!$C$36*I263</f>
        <v>-0.00420171642873094</v>
      </c>
      <c r="O263" s="1" t="n">
        <f aca="false">B263+Analysis!$C$42*N263</f>
        <v>0.000385459923536268</v>
      </c>
      <c r="P263" s="2" t="n">
        <f aca="false">1+O263</f>
        <v>1.00038545992354</v>
      </c>
    </row>
    <row r="264" customFormat="false" ht="15" hidden="false" customHeight="false" outlineLevel="0" collapsed="false">
      <c r="A264" s="6" t="n">
        <v>33909</v>
      </c>
      <c r="B264" s="1" t="n">
        <v>0.0023</v>
      </c>
      <c r="C264" s="1" t="n">
        <v>0.0437</v>
      </c>
      <c r="D264" s="1" t="n">
        <v>0.0495</v>
      </c>
      <c r="E264" s="1" t="n">
        <v>0.0498</v>
      </c>
      <c r="G264" s="1" t="n">
        <f aca="false">C264-$B264</f>
        <v>0.0414</v>
      </c>
      <c r="I264" s="1" t="n">
        <f aca="false">D264-E264</f>
        <v>-0.000299999999999995</v>
      </c>
      <c r="K264" s="1" t="n">
        <f aca="false">(1-Analysis!$C$21)*B264 + Analysis!$C$21*C264</f>
        <v>0.0113161742768081</v>
      </c>
      <c r="L264" s="2" t="n">
        <f aca="false">1+K264</f>
        <v>1.01131617427681</v>
      </c>
      <c r="N264" s="1" t="n">
        <f aca="false">Analysis!$C$35*G264+Analysis!$C$36*I264</f>
        <v>0.0167872305295869</v>
      </c>
      <c r="O264" s="1" t="n">
        <f aca="false">B264+Analysis!$C$42*N264</f>
        <v>0.00994921340287517</v>
      </c>
      <c r="P264" s="2" t="n">
        <f aca="false">1+O264</f>
        <v>1.00994921340288</v>
      </c>
    </row>
    <row r="265" customFormat="false" ht="15" hidden="false" customHeight="false" outlineLevel="0" collapsed="false">
      <c r="A265" s="6" t="n">
        <v>33939</v>
      </c>
      <c r="B265" s="1" t="n">
        <v>0.0028</v>
      </c>
      <c r="C265" s="1" t="n">
        <v>0.0181</v>
      </c>
      <c r="D265" s="1" t="n">
        <v>0.0377</v>
      </c>
      <c r="E265" s="1" t="n">
        <v>0.0086</v>
      </c>
      <c r="G265" s="1" t="n">
        <f aca="false">C265-$B265</f>
        <v>0.0153</v>
      </c>
      <c r="I265" s="1" t="n">
        <f aca="false">D265-E265</f>
        <v>0.0291</v>
      </c>
      <c r="K265" s="1" t="n">
        <f aca="false">(1-Analysis!$C$21)*B265 + Analysis!$C$21*C265</f>
        <v>0.00613206440664646</v>
      </c>
      <c r="L265" s="2" t="n">
        <f aca="false">1+K265</f>
        <v>1.00613206440665</v>
      </c>
      <c r="N265" s="1" t="n">
        <f aca="false">Analysis!$C$35*G265+Analysis!$C$36*I265</f>
        <v>0.0234452330621511</v>
      </c>
      <c r="O265" s="1" t="n">
        <f aca="false">B265+Analysis!$C$42*N265</f>
        <v>0.0134829766027495</v>
      </c>
      <c r="P265" s="2" t="n">
        <f aca="false">1+O265</f>
        <v>1.01348297660275</v>
      </c>
    </row>
    <row r="266" customFormat="false" ht="15" hidden="false" customHeight="false" outlineLevel="0" collapsed="false">
      <c r="A266" s="6" t="n">
        <v>33970</v>
      </c>
      <c r="B266" s="1" t="n">
        <v>0.0023</v>
      </c>
      <c r="C266" s="1" t="n">
        <v>0.0116</v>
      </c>
      <c r="D266" s="1" t="n">
        <v>0.0563</v>
      </c>
      <c r="E266" s="1" t="n">
        <v>-0.009</v>
      </c>
      <c r="G266" s="1" t="n">
        <f aca="false">C266-$B266</f>
        <v>0.0093</v>
      </c>
      <c r="I266" s="1" t="n">
        <f aca="false">D266-E266</f>
        <v>0.0653</v>
      </c>
      <c r="K266" s="1" t="n">
        <f aca="false">(1-Analysis!$C$21)*B266 + Analysis!$C$21*C266</f>
        <v>0.00432537248247138</v>
      </c>
      <c r="L266" s="2" t="n">
        <f aca="false">1+K266</f>
        <v>1.00432537248247</v>
      </c>
      <c r="N266" s="1" t="n">
        <f aca="false">Analysis!$C$35*G266+Analysis!$C$36*I266</f>
        <v>0.0423531196724972</v>
      </c>
      <c r="O266" s="1" t="n">
        <f aca="false">B266+Analysis!$C$42*N266</f>
        <v>0.0215984810735434</v>
      </c>
      <c r="P266" s="2" t="n">
        <f aca="false">1+O266</f>
        <v>1.02159848107354</v>
      </c>
    </row>
    <row r="267" customFormat="false" ht="15" hidden="false" customHeight="false" outlineLevel="0" collapsed="false">
      <c r="A267" s="6" t="n">
        <v>34001</v>
      </c>
      <c r="B267" s="1" t="n">
        <v>0.0022</v>
      </c>
      <c r="C267" s="1" t="n">
        <v>0.0034</v>
      </c>
      <c r="D267" s="1" t="n">
        <v>0.0271</v>
      </c>
      <c r="E267" s="1" t="n">
        <v>-0.027</v>
      </c>
      <c r="G267" s="1" t="n">
        <f aca="false">C267-$B267</f>
        <v>0.0012</v>
      </c>
      <c r="I267" s="1" t="n">
        <f aca="false">D267-E267</f>
        <v>0.0541</v>
      </c>
      <c r="K267" s="1" t="n">
        <f aca="false">(1-Analysis!$C$21)*B267 + Analysis!$C$21*C267</f>
        <v>0.00246133838483502</v>
      </c>
      <c r="L267" s="2" t="n">
        <f aca="false">1+K267</f>
        <v>1.00246133838484</v>
      </c>
      <c r="N267" s="1" t="n">
        <f aca="false">Analysis!$C$35*G267+Analysis!$C$36*I267</f>
        <v>0.0324233934049126</v>
      </c>
      <c r="O267" s="1" t="n">
        <f aca="false">B267+Analysis!$C$42*N267</f>
        <v>0.0169739351623508</v>
      </c>
      <c r="P267" s="2" t="n">
        <f aca="false">1+O267</f>
        <v>1.01697393516235</v>
      </c>
    </row>
    <row r="268" customFormat="false" ht="15" hidden="false" customHeight="false" outlineLevel="0" collapsed="false">
      <c r="A268" s="6" t="n">
        <v>34029</v>
      </c>
      <c r="B268" s="1" t="n">
        <v>0.0025</v>
      </c>
      <c r="C268" s="1" t="n">
        <v>0.0257</v>
      </c>
      <c r="D268" s="1" t="n">
        <v>0.0293</v>
      </c>
      <c r="E268" s="1" t="n">
        <v>0.018</v>
      </c>
      <c r="G268" s="1" t="n">
        <f aca="false">C268-$B268</f>
        <v>0.0232</v>
      </c>
      <c r="I268" s="1" t="n">
        <f aca="false">D268-E268</f>
        <v>0.0113</v>
      </c>
      <c r="K268" s="1" t="n">
        <f aca="false">(1-Analysis!$C$21)*B268 + Analysis!$C$21*C268</f>
        <v>0.00755254210681032</v>
      </c>
      <c r="L268" s="2" t="n">
        <f aca="false">1+K268</f>
        <v>1.00755254210681</v>
      </c>
      <c r="N268" s="1" t="n">
        <f aca="false">Analysis!$C$35*G268+Analysis!$C$36*I268</f>
        <v>0.0161762120695943</v>
      </c>
      <c r="O268" s="1" t="n">
        <f aca="false">B268+Analysis!$C$42*N268</f>
        <v>0.00987079877186492</v>
      </c>
      <c r="P268" s="2" t="n">
        <f aca="false">1+O268</f>
        <v>1.00987079877187</v>
      </c>
    </row>
    <row r="269" customFormat="false" ht="15" hidden="false" customHeight="false" outlineLevel="0" collapsed="false">
      <c r="A269" s="6" t="n">
        <v>34060</v>
      </c>
      <c r="B269" s="1" t="n">
        <v>0.0024</v>
      </c>
      <c r="C269" s="1" t="n">
        <v>-0.0281</v>
      </c>
      <c r="D269" s="1" t="n">
        <v>-0.0132</v>
      </c>
      <c r="E269" s="1" t="n">
        <v>-0.0492</v>
      </c>
      <c r="G269" s="1" t="n">
        <f aca="false">C269-$B269</f>
        <v>-0.0305</v>
      </c>
      <c r="I269" s="1" t="n">
        <f aca="false">D269-E269</f>
        <v>0.036</v>
      </c>
      <c r="K269" s="1" t="n">
        <f aca="false">(1-Analysis!$C$21)*B269 + Analysis!$C$21*C269</f>
        <v>-0.00424235061455667</v>
      </c>
      <c r="L269" s="2" t="n">
        <f aca="false">1+K269</f>
        <v>0.995757649385443</v>
      </c>
      <c r="N269" s="1" t="n">
        <f aca="false">Analysis!$C$35*G269+Analysis!$C$36*I269</f>
        <v>0.00875057961109049</v>
      </c>
      <c r="O269" s="1" t="n">
        <f aca="false">B269+Analysis!$C$42*N269</f>
        <v>0.00638725988340418</v>
      </c>
      <c r="P269" s="2" t="n">
        <f aca="false">1+O269</f>
        <v>1.0063872598834</v>
      </c>
    </row>
    <row r="270" customFormat="false" ht="15" hidden="false" customHeight="false" outlineLevel="0" collapsed="false">
      <c r="A270" s="6" t="n">
        <v>34090</v>
      </c>
      <c r="B270" s="1" t="n">
        <v>0.0022</v>
      </c>
      <c r="C270" s="1" t="n">
        <v>0.0311</v>
      </c>
      <c r="D270" s="1" t="n">
        <v>0.0113</v>
      </c>
      <c r="E270" s="1" t="n">
        <v>0.0424</v>
      </c>
      <c r="G270" s="1" t="n">
        <f aca="false">C270-$B270</f>
        <v>0.0289</v>
      </c>
      <c r="I270" s="1" t="n">
        <f aca="false">D270-E270</f>
        <v>-0.0311</v>
      </c>
      <c r="K270" s="1" t="n">
        <f aca="false">(1-Analysis!$C$21)*B270 + Analysis!$C$21*C270</f>
        <v>0.00849389943477664</v>
      </c>
      <c r="L270" s="2" t="n">
        <f aca="false">1+K270</f>
        <v>1.00849389943478</v>
      </c>
      <c r="N270" s="1" t="n">
        <f aca="false">Analysis!$C$35*G270+Analysis!$C$36*I270</f>
        <v>-0.00651405679196134</v>
      </c>
      <c r="O270" s="1" t="n">
        <f aca="false">B270+Analysis!$C$42*N270</f>
        <v>-0.000768173364411822</v>
      </c>
      <c r="P270" s="2" t="n">
        <f aca="false">1+O270</f>
        <v>0.999231826635588</v>
      </c>
    </row>
    <row r="271" customFormat="false" ht="15" hidden="false" customHeight="false" outlineLevel="0" collapsed="false">
      <c r="A271" s="6" t="n">
        <v>34121</v>
      </c>
      <c r="B271" s="1" t="n">
        <v>0.0025</v>
      </c>
      <c r="C271" s="1" t="n">
        <v>0.0055</v>
      </c>
      <c r="D271" s="1" t="n">
        <v>0.031</v>
      </c>
      <c r="E271" s="1" t="n">
        <v>-0.0089</v>
      </c>
      <c r="G271" s="1" t="n">
        <f aca="false">C271-$B271</f>
        <v>0.003</v>
      </c>
      <c r="I271" s="1" t="n">
        <f aca="false">D271-E271</f>
        <v>0.0399</v>
      </c>
      <c r="K271" s="1" t="n">
        <f aca="false">(1-Analysis!$C$21)*B271 + Analysis!$C$21*C271</f>
        <v>0.00315334596208754</v>
      </c>
      <c r="L271" s="2" t="n">
        <f aca="false">1+K271</f>
        <v>1.00315334596209</v>
      </c>
      <c r="N271" s="1" t="n">
        <f aca="false">Analysis!$C$35*G271+Analysis!$C$36*I271</f>
        <v>0.0247796449270562</v>
      </c>
      <c r="O271" s="1" t="n">
        <f aca="false">B271+Analysis!$C$42*N271</f>
        <v>0.013791010256901</v>
      </c>
      <c r="P271" s="2" t="n">
        <f aca="false">1+O271</f>
        <v>1.0137910102569</v>
      </c>
    </row>
    <row r="272" customFormat="false" ht="15" hidden="false" customHeight="false" outlineLevel="0" collapsed="false">
      <c r="A272" s="6" t="n">
        <v>34151</v>
      </c>
      <c r="B272" s="1" t="n">
        <v>0.0024</v>
      </c>
      <c r="C272" s="1" t="n">
        <v>-0.001</v>
      </c>
      <c r="D272" s="1" t="n">
        <v>0.0138</v>
      </c>
      <c r="E272" s="1" t="n">
        <v>-0.0185</v>
      </c>
      <c r="G272" s="1" t="n">
        <f aca="false">C272-$B272</f>
        <v>-0.0034</v>
      </c>
      <c r="I272" s="1" t="n">
        <f aca="false">D272-E272</f>
        <v>0.0323</v>
      </c>
      <c r="K272" s="1" t="n">
        <f aca="false">(1-Analysis!$C$21)*B272 + Analysis!$C$21*C272</f>
        <v>0.00165954124296745</v>
      </c>
      <c r="L272" s="2" t="n">
        <f aca="false">1+K272</f>
        <v>1.00165954124297</v>
      </c>
      <c r="N272" s="1" t="n">
        <f aca="false">Analysis!$C$35*G272+Analysis!$C$36*I272</f>
        <v>0.017671363791217</v>
      </c>
      <c r="O272" s="1" t="n">
        <f aca="false">B272+Analysis!$C$42*N272</f>
        <v>0.0104520746123444</v>
      </c>
      <c r="P272" s="2" t="n">
        <f aca="false">1+O272</f>
        <v>1.01045207461234</v>
      </c>
    </row>
    <row r="273" customFormat="false" ht="15" hidden="false" customHeight="false" outlineLevel="0" collapsed="false">
      <c r="A273" s="6" t="n">
        <v>34182</v>
      </c>
      <c r="B273" s="1" t="n">
        <v>0.0025</v>
      </c>
      <c r="C273" s="1" t="n">
        <v>0.0397</v>
      </c>
      <c r="D273" s="1" t="n">
        <v>0.04</v>
      </c>
      <c r="E273" s="1" t="n">
        <v>0.0354</v>
      </c>
      <c r="G273" s="1" t="n">
        <f aca="false">C273-$B273</f>
        <v>0.0372</v>
      </c>
      <c r="I273" s="1" t="n">
        <f aca="false">D273-E273</f>
        <v>0.0046</v>
      </c>
      <c r="K273" s="1" t="n">
        <f aca="false">(1-Analysis!$C$21)*B273 + Analysis!$C$21*C273</f>
        <v>0.0106014899298855</v>
      </c>
      <c r="L273" s="2" t="n">
        <f aca="false">1+K273</f>
        <v>1.01060148992989</v>
      </c>
      <c r="N273" s="1" t="n">
        <f aca="false">Analysis!$C$35*G273+Analysis!$C$36*I273</f>
        <v>0.0179583624763677</v>
      </c>
      <c r="O273" s="1" t="n">
        <f aca="false">B273+Analysis!$C$42*N273</f>
        <v>0.0106828474748004</v>
      </c>
      <c r="P273" s="2" t="n">
        <f aca="false">1+O273</f>
        <v>1.0106828474748</v>
      </c>
    </row>
    <row r="274" customFormat="false" ht="15" hidden="false" customHeight="false" outlineLevel="0" collapsed="false">
      <c r="A274" s="6" t="n">
        <v>34213</v>
      </c>
      <c r="B274" s="1" t="n">
        <v>0.0026</v>
      </c>
      <c r="C274" s="1" t="n">
        <v>0.0014</v>
      </c>
      <c r="D274" s="1" t="n">
        <v>-0.0008</v>
      </c>
      <c r="E274" s="1" t="n">
        <v>-0.0051</v>
      </c>
      <c r="G274" s="1" t="n">
        <f aca="false">C274-$B274</f>
        <v>-0.0012</v>
      </c>
      <c r="I274" s="1" t="n">
        <f aca="false">D274-E274</f>
        <v>0.0043</v>
      </c>
      <c r="K274" s="1" t="n">
        <f aca="false">(1-Analysis!$C$21)*B274 + Analysis!$C$21*C274</f>
        <v>0.00233866161516498</v>
      </c>
      <c r="L274" s="2" t="n">
        <f aca="false">1+K274</f>
        <v>1.00233866161517</v>
      </c>
      <c r="N274" s="1" t="n">
        <f aca="false">Analysis!$C$35*G274+Analysis!$C$36*I274</f>
        <v>0.00204628853926312</v>
      </c>
      <c r="O274" s="1" t="n">
        <f aca="false">B274+Analysis!$C$42*N274</f>
        <v>0.00353240500230782</v>
      </c>
      <c r="P274" s="2" t="n">
        <f aca="false">1+O274</f>
        <v>1.00353240500231</v>
      </c>
    </row>
    <row r="275" customFormat="false" ht="15" hidden="false" customHeight="false" outlineLevel="0" collapsed="false">
      <c r="A275" s="6" t="n">
        <v>34243</v>
      </c>
      <c r="B275" s="1" t="n">
        <v>0.0022</v>
      </c>
      <c r="C275" s="1" t="n">
        <v>0.0164</v>
      </c>
      <c r="D275" s="1" t="n">
        <v>-0.0029</v>
      </c>
      <c r="E275" s="1" t="n">
        <v>0.0333</v>
      </c>
      <c r="G275" s="1" t="n">
        <f aca="false">C275-$B275</f>
        <v>0.0142</v>
      </c>
      <c r="I275" s="1" t="n">
        <f aca="false">D275-E275</f>
        <v>-0.0362</v>
      </c>
      <c r="K275" s="1" t="n">
        <f aca="false">(1-Analysis!$C$21)*B275 + Analysis!$C$21*C275</f>
        <v>0.00529250422054769</v>
      </c>
      <c r="L275" s="2" t="n">
        <f aca="false">1+K275</f>
        <v>1.00529250422055</v>
      </c>
      <c r="N275" s="1" t="n">
        <f aca="false">Analysis!$C$35*G275+Analysis!$C$36*I275</f>
        <v>-0.0155478077052475</v>
      </c>
      <c r="O275" s="1" t="n">
        <f aca="false">B275+Analysis!$C$42*N275</f>
        <v>-0.00488446213773607</v>
      </c>
      <c r="P275" s="2" t="n">
        <f aca="false">1+O275</f>
        <v>0.995115537862264</v>
      </c>
    </row>
    <row r="276" customFormat="false" ht="15" hidden="false" customHeight="false" outlineLevel="0" collapsed="false">
      <c r="A276" s="6" t="n">
        <v>34274</v>
      </c>
      <c r="B276" s="1" t="n">
        <v>0.0025</v>
      </c>
      <c r="C276" s="1" t="n">
        <v>-0.0162</v>
      </c>
      <c r="D276" s="1" t="n">
        <v>-0.0218</v>
      </c>
      <c r="E276" s="1" t="n">
        <v>-0.0022</v>
      </c>
      <c r="G276" s="1" t="n">
        <f aca="false">C276-$B276</f>
        <v>-0.0187</v>
      </c>
      <c r="I276" s="1" t="n">
        <f aca="false">D276-E276</f>
        <v>-0.0196</v>
      </c>
      <c r="K276" s="1" t="n">
        <f aca="false">(1-Analysis!$C$21)*B276 + Analysis!$C$21*C276</f>
        <v>-0.00157252316367901</v>
      </c>
      <c r="L276" s="2" t="n">
        <f aca="false">1+K276</f>
        <v>0.998427476836321</v>
      </c>
      <c r="N276" s="1" t="n">
        <f aca="false">Analysis!$C$35*G276+Analysis!$C$36*I276</f>
        <v>-0.0192312108518794</v>
      </c>
      <c r="O276" s="1" t="n">
        <f aca="false">B276+Analysis!$C$42*N276</f>
        <v>-0.00626282931496353</v>
      </c>
      <c r="P276" s="2" t="n">
        <f aca="false">1+O276</f>
        <v>0.993737170685036</v>
      </c>
    </row>
    <row r="277" customFormat="false" ht="15" hidden="false" customHeight="false" outlineLevel="0" collapsed="false">
      <c r="A277" s="6" t="n">
        <v>34304</v>
      </c>
      <c r="B277" s="1" t="n">
        <v>0.0023</v>
      </c>
      <c r="C277" s="1" t="n">
        <v>0.0188</v>
      </c>
      <c r="D277" s="1" t="n">
        <v>0.0227</v>
      </c>
      <c r="E277" s="1" t="n">
        <v>0.0157</v>
      </c>
      <c r="G277" s="1" t="n">
        <f aca="false">C277-$B277</f>
        <v>0.0165</v>
      </c>
      <c r="I277" s="1" t="n">
        <f aca="false">D277-E277</f>
        <v>0.007</v>
      </c>
      <c r="K277" s="1" t="n">
        <f aca="false">(1-Analysis!$C$21)*B277 + Analysis!$C$21*C277</f>
        <v>0.00589340279148148</v>
      </c>
      <c r="L277" s="2" t="n">
        <f aca="false">1+K277</f>
        <v>1.00589340279148</v>
      </c>
      <c r="N277" s="1" t="n">
        <f aca="false">Analysis!$C$35*G277+Analysis!$C$36*I277</f>
        <v>0.0108927743412728</v>
      </c>
      <c r="O277" s="1" t="n">
        <f aca="false">B277+Analysis!$C$42*N277</f>
        <v>0.00726336518039162</v>
      </c>
      <c r="P277" s="2" t="n">
        <f aca="false">1+O277</f>
        <v>1.00726336518039</v>
      </c>
    </row>
    <row r="278" customFormat="false" ht="15" hidden="false" customHeight="false" outlineLevel="0" collapsed="false">
      <c r="A278" s="6" t="n">
        <v>34335</v>
      </c>
      <c r="B278" s="1" t="n">
        <v>0.0025</v>
      </c>
      <c r="C278" s="1" t="n">
        <v>0.0312</v>
      </c>
      <c r="D278" s="1" t="n">
        <v>0.0229</v>
      </c>
      <c r="E278" s="1" t="n">
        <v>0.0238</v>
      </c>
      <c r="G278" s="1" t="n">
        <f aca="false">C278-$B278</f>
        <v>0.0287</v>
      </c>
      <c r="I278" s="1" t="n">
        <f aca="false">D278-E278</f>
        <v>-0.000900000000000002</v>
      </c>
      <c r="K278" s="1" t="n">
        <f aca="false">(1-Analysis!$C$21)*B278 + Analysis!$C$21*C278</f>
        <v>0.00875034303730414</v>
      </c>
      <c r="L278" s="2" t="n">
        <f aca="false">1+K278</f>
        <v>1.0087503430373</v>
      </c>
      <c r="N278" s="1" t="n">
        <f aca="false">Analysis!$C$35*G278+Analysis!$C$36*I278</f>
        <v>0.0112290653159657</v>
      </c>
      <c r="O278" s="1" t="n">
        <f aca="false">B278+Analysis!$C$42*N278</f>
        <v>0.00761659840289092</v>
      </c>
      <c r="P278" s="2" t="n">
        <f aca="false">1+O278</f>
        <v>1.00761659840289</v>
      </c>
    </row>
    <row r="279" customFormat="false" ht="15" hidden="false" customHeight="false" outlineLevel="0" collapsed="false">
      <c r="A279" s="6" t="n">
        <v>34366</v>
      </c>
      <c r="B279" s="1" t="n">
        <v>0.0021</v>
      </c>
      <c r="C279" s="1" t="n">
        <v>-0.0234</v>
      </c>
      <c r="D279" s="1" t="n">
        <v>-0.0393</v>
      </c>
      <c r="E279" s="1" t="n">
        <v>-0.0169</v>
      </c>
      <c r="G279" s="1" t="n">
        <f aca="false">C279-$B279</f>
        <v>-0.0255</v>
      </c>
      <c r="I279" s="1" t="n">
        <f aca="false">D279-E279</f>
        <v>-0.0224</v>
      </c>
      <c r="K279" s="1" t="n">
        <f aca="false">(1-Analysis!$C$21)*B279 + Analysis!$C$21*C279</f>
        <v>-0.0034534406777441</v>
      </c>
      <c r="L279" s="2" t="n">
        <f aca="false">1+K279</f>
        <v>0.996546559322256</v>
      </c>
      <c r="N279" s="1" t="n">
        <f aca="false">Analysis!$C$35*G279+Analysis!$C$36*I279</f>
        <v>-0.0236702737324153</v>
      </c>
      <c r="O279" s="1" t="n">
        <f aca="false">B279+Analysis!$C$42*N279</f>
        <v>-0.00868551788304842</v>
      </c>
      <c r="P279" s="2" t="n">
        <f aca="false">1+O279</f>
        <v>0.991314482116952</v>
      </c>
    </row>
    <row r="280" customFormat="false" ht="15" hidden="false" customHeight="false" outlineLevel="0" collapsed="false">
      <c r="A280" s="6" t="n">
        <v>34394</v>
      </c>
      <c r="B280" s="1" t="n">
        <v>0.0027</v>
      </c>
      <c r="C280" s="1" t="n">
        <v>-0.0452</v>
      </c>
      <c r="D280" s="1" t="n">
        <v>-0.0353</v>
      </c>
      <c r="E280" s="1" t="n">
        <v>-0.0485</v>
      </c>
      <c r="G280" s="1" t="n">
        <f aca="false">C280-$B280</f>
        <v>-0.0479</v>
      </c>
      <c r="I280" s="1" t="n">
        <f aca="false">D280-E280</f>
        <v>0.0132</v>
      </c>
      <c r="K280" s="1" t="n">
        <f aca="false">(1-Analysis!$C$21)*B280 + Analysis!$C$21*C280</f>
        <v>-0.0077317571946644</v>
      </c>
      <c r="L280" s="2" t="n">
        <f aca="false">1+K280</f>
        <v>0.992268242805336</v>
      </c>
      <c r="N280" s="1" t="n">
        <f aca="false">Analysis!$C$35*G280+Analysis!$C$36*I280</f>
        <v>-0.011836685500186</v>
      </c>
      <c r="O280" s="1" t="n">
        <f aca="false">B280+Analysis!$C$42*N280</f>
        <v>-0.0026934645869112</v>
      </c>
      <c r="P280" s="2" t="n">
        <f aca="false">1+O280</f>
        <v>0.997306535413089</v>
      </c>
    </row>
    <row r="281" customFormat="false" ht="15" hidden="false" customHeight="false" outlineLevel="0" collapsed="false">
      <c r="A281" s="6" t="n">
        <v>34425</v>
      </c>
      <c r="B281" s="1" t="n">
        <v>0.0027</v>
      </c>
      <c r="C281" s="1" t="n">
        <v>0.0095</v>
      </c>
      <c r="D281" s="1" t="n">
        <v>0.0157</v>
      </c>
      <c r="E281" s="1" t="n">
        <v>0.0045</v>
      </c>
      <c r="G281" s="1" t="n">
        <f aca="false">C281-$B281</f>
        <v>0.0068</v>
      </c>
      <c r="I281" s="1" t="n">
        <f aca="false">D281-E281</f>
        <v>0.0112</v>
      </c>
      <c r="K281" s="1" t="n">
        <f aca="false">(1-Analysis!$C$21)*B281 + Analysis!$C$21*C281</f>
        <v>0.00418091751406509</v>
      </c>
      <c r="L281" s="2" t="n">
        <f aca="false">1+K281</f>
        <v>1.00418091751407</v>
      </c>
      <c r="N281" s="1" t="n">
        <f aca="false">Analysis!$C$35*G281+Analysis!$C$36*I281</f>
        <v>0.0093970308314105</v>
      </c>
      <c r="O281" s="1" t="n">
        <f aca="false">B281+Analysis!$C$42*N281</f>
        <v>0.00698181968765907</v>
      </c>
      <c r="P281" s="2" t="n">
        <f aca="false">1+O281</f>
        <v>1.00698181968766</v>
      </c>
    </row>
    <row r="282" customFormat="false" ht="15" hidden="false" customHeight="false" outlineLevel="0" collapsed="false">
      <c r="A282" s="6" t="n">
        <v>34455</v>
      </c>
      <c r="B282" s="1" t="n">
        <v>0.0032</v>
      </c>
      <c r="C282" s="1" t="n">
        <v>0.009</v>
      </c>
      <c r="D282" s="1" t="n">
        <v>-0.0005</v>
      </c>
      <c r="E282" s="1" t="n">
        <v>0.0105</v>
      </c>
      <c r="G282" s="1" t="n">
        <f aca="false">C282-$B282</f>
        <v>0.0058</v>
      </c>
      <c r="I282" s="1" t="n">
        <f aca="false">D282-E282</f>
        <v>-0.011</v>
      </c>
      <c r="K282" s="1" t="n">
        <f aca="false">(1-Analysis!$C$21)*B282 + Analysis!$C$21*C282</f>
        <v>0.00446313552670258</v>
      </c>
      <c r="L282" s="2" t="n">
        <f aca="false">1+K282</f>
        <v>1.0044631355267</v>
      </c>
      <c r="N282" s="1" t="n">
        <f aca="false">Analysis!$C$35*G282+Analysis!$C$36*I282</f>
        <v>-0.00411593590174918</v>
      </c>
      <c r="O282" s="1" t="n">
        <f aca="false">B282+Analysis!$C$42*N282</f>
        <v>0.00132454639200039</v>
      </c>
      <c r="P282" s="2" t="n">
        <f aca="false">1+O282</f>
        <v>1.001324546392</v>
      </c>
    </row>
    <row r="283" customFormat="false" ht="15" hidden="false" customHeight="false" outlineLevel="0" collapsed="false">
      <c r="A283" s="6" t="n">
        <v>34486</v>
      </c>
      <c r="B283" s="1" t="n">
        <v>0.0031</v>
      </c>
      <c r="C283" s="1" t="n">
        <v>-0.0273</v>
      </c>
      <c r="D283" s="1" t="n">
        <v>-0.0245</v>
      </c>
      <c r="E283" s="1" t="n">
        <v>-0.0327</v>
      </c>
      <c r="G283" s="1" t="n">
        <f aca="false">C283-$B283</f>
        <v>-0.0304</v>
      </c>
      <c r="I283" s="1" t="n">
        <f aca="false">D283-E283</f>
        <v>0.0082</v>
      </c>
      <c r="K283" s="1" t="n">
        <f aca="false">(1-Analysis!$C$21)*B283 + Analysis!$C$21*C283</f>
        <v>-0.00352057241582042</v>
      </c>
      <c r="L283" s="2" t="n">
        <f aca="false">1+K283</f>
        <v>0.99647942758418</v>
      </c>
      <c r="N283" s="1" t="n">
        <f aca="false">Analysis!$C$35*G283+Analysis!$C$36*I283</f>
        <v>-0.00761695679717154</v>
      </c>
      <c r="O283" s="1" t="n">
        <f aca="false">B283+Analysis!$C$42*N283</f>
        <v>-0.000370717097698637</v>
      </c>
      <c r="P283" s="2" t="n">
        <f aca="false">1+O283</f>
        <v>0.999629282902301</v>
      </c>
    </row>
    <row r="284" customFormat="false" ht="15" hidden="false" customHeight="false" outlineLevel="0" collapsed="false">
      <c r="A284" s="6" t="n">
        <v>34516</v>
      </c>
      <c r="B284" s="1" t="n">
        <v>0.0028</v>
      </c>
      <c r="C284" s="1" t="n">
        <v>0.031</v>
      </c>
      <c r="D284" s="1" t="n">
        <v>0.0318</v>
      </c>
      <c r="E284" s="1" t="n">
        <v>0.0279</v>
      </c>
      <c r="G284" s="1" t="n">
        <f aca="false">C284-$B284</f>
        <v>0.0282</v>
      </c>
      <c r="I284" s="1" t="n">
        <f aca="false">D284-E284</f>
        <v>0.0039</v>
      </c>
      <c r="K284" s="1" t="n">
        <f aca="false">(1-Analysis!$C$21)*B284 + Analysis!$C$21*C284</f>
        <v>0.00894145204362288</v>
      </c>
      <c r="L284" s="2" t="n">
        <f aca="false">1+K284</f>
        <v>1.00894145204362</v>
      </c>
      <c r="N284" s="1" t="n">
        <f aca="false">Analysis!$C$35*G284+Analysis!$C$36*I284</f>
        <v>0.0138573069992557</v>
      </c>
      <c r="O284" s="1" t="n">
        <f aca="false">B284+Analysis!$C$42*N284</f>
        <v>0.00911417423139842</v>
      </c>
      <c r="P284" s="2" t="n">
        <f aca="false">1+O284</f>
        <v>1.0091141742314</v>
      </c>
    </row>
    <row r="285" customFormat="false" ht="15" hidden="false" customHeight="false" outlineLevel="0" collapsed="false">
      <c r="A285" s="6" t="n">
        <v>34547</v>
      </c>
      <c r="B285" s="1" t="n">
        <v>0.0037</v>
      </c>
      <c r="C285" s="1" t="n">
        <v>0.0439</v>
      </c>
      <c r="D285" s="1" t="n">
        <v>0.0376</v>
      </c>
      <c r="E285" s="1" t="n">
        <v>0.0539</v>
      </c>
      <c r="G285" s="1" t="n">
        <f aca="false">C285-$B285</f>
        <v>0.0402</v>
      </c>
      <c r="I285" s="1" t="n">
        <f aca="false">D285-E285</f>
        <v>-0.0163</v>
      </c>
      <c r="K285" s="1" t="n">
        <f aca="false">(1-Analysis!$C$21)*B285 + Analysis!$C$21*C285</f>
        <v>0.0124548358919731</v>
      </c>
      <c r="L285" s="2" t="n">
        <f aca="false">1+K285</f>
        <v>1.01245483589197</v>
      </c>
      <c r="N285" s="1" t="n">
        <f aca="false">Analysis!$C$35*G285+Analysis!$C$36*I285</f>
        <v>0.00685176318756973</v>
      </c>
      <c r="O285" s="1" t="n">
        <f aca="false">B285+Analysis!$C$42*N285</f>
        <v>0.00682205153287872</v>
      </c>
      <c r="P285" s="2" t="n">
        <f aca="false">1+O285</f>
        <v>1.00682205153288</v>
      </c>
    </row>
    <row r="286" customFormat="false" ht="15" hidden="false" customHeight="false" outlineLevel="0" collapsed="false">
      <c r="A286" s="6" t="n">
        <v>34578</v>
      </c>
      <c r="B286" s="1" t="n">
        <v>0.0037</v>
      </c>
      <c r="C286" s="1" t="n">
        <v>-0.0191</v>
      </c>
      <c r="D286" s="1" t="n">
        <v>-0.0343</v>
      </c>
      <c r="E286" s="1" t="n">
        <v>-0.0124</v>
      </c>
      <c r="G286" s="1" t="n">
        <f aca="false">C286-$B286</f>
        <v>-0.0228</v>
      </c>
      <c r="I286" s="1" t="n">
        <f aca="false">D286-E286</f>
        <v>-0.0219</v>
      </c>
      <c r="K286" s="1" t="n">
        <f aca="false">(1-Analysis!$C$21)*B286 + Analysis!$C$21*C286</f>
        <v>-0.00126542931186531</v>
      </c>
      <c r="L286" s="2" t="n">
        <f aca="false">1+K286</f>
        <v>0.998734570688135</v>
      </c>
      <c r="N286" s="1" t="n">
        <f aca="false">Analysis!$C$35*G286+Analysis!$C$36*I286</f>
        <v>-0.0222687891481206</v>
      </c>
      <c r="O286" s="1" t="n">
        <f aca="false">B286+Analysis!$C$42*N286</f>
        <v>-0.00644692209756633</v>
      </c>
      <c r="P286" s="2" t="n">
        <f aca="false">1+O286</f>
        <v>0.993553077902434</v>
      </c>
    </row>
    <row r="287" customFormat="false" ht="15" hidden="false" customHeight="false" outlineLevel="0" collapsed="false">
      <c r="A287" s="6" t="n">
        <v>34608</v>
      </c>
      <c r="B287" s="1" t="n">
        <v>0.0038</v>
      </c>
      <c r="C287" s="1" t="n">
        <v>0.0173</v>
      </c>
      <c r="D287" s="1" t="n">
        <v>0.0018</v>
      </c>
      <c r="E287" s="1" t="n">
        <v>0.0188</v>
      </c>
      <c r="G287" s="1" t="n">
        <f aca="false">C287-$B287</f>
        <v>0.0135</v>
      </c>
      <c r="I287" s="1" t="n">
        <f aca="false">D287-E287</f>
        <v>-0.017</v>
      </c>
      <c r="K287" s="1" t="n">
        <f aca="false">(1-Analysis!$C$21)*B287 + Analysis!$C$21*C287</f>
        <v>0.00674005682939393</v>
      </c>
      <c r="L287" s="2" t="n">
        <f aca="false">1+K287</f>
        <v>1.00674005682939</v>
      </c>
      <c r="N287" s="1" t="n">
        <f aca="false">Analysis!$C$35*G287+Analysis!$C$36*I287</f>
        <v>-0.00450214553591368</v>
      </c>
      <c r="O287" s="1" t="n">
        <f aca="false">B287+Analysis!$C$42*N287</f>
        <v>0.0017485673998275</v>
      </c>
      <c r="P287" s="2" t="n">
        <f aca="false">1+O287</f>
        <v>1.00174856739983</v>
      </c>
    </row>
    <row r="288" customFormat="false" ht="15" hidden="false" customHeight="false" outlineLevel="0" collapsed="false">
      <c r="A288" s="6" t="n">
        <v>34639</v>
      </c>
      <c r="B288" s="1" t="n">
        <v>0.0037</v>
      </c>
      <c r="C288" s="1" t="n">
        <v>-0.0366</v>
      </c>
      <c r="D288" s="1" t="n">
        <v>-0.0466</v>
      </c>
      <c r="E288" s="1" t="n">
        <v>-0.0327</v>
      </c>
      <c r="G288" s="1" t="n">
        <f aca="false">C288-$B288</f>
        <v>-0.0403</v>
      </c>
      <c r="I288" s="1" t="n">
        <f aca="false">D288-E288</f>
        <v>-0.0139</v>
      </c>
      <c r="K288" s="1" t="n">
        <f aca="false">(1-Analysis!$C$21)*B288 + Analysis!$C$21*C288</f>
        <v>-0.0050766140907093</v>
      </c>
      <c r="L288" s="2" t="n">
        <f aca="false">1+K288</f>
        <v>0.994923385909291</v>
      </c>
      <c r="N288" s="1" t="n">
        <f aca="false">Analysis!$C$35*G288+Analysis!$C$36*I288</f>
        <v>-0.024717815011537</v>
      </c>
      <c r="O288" s="1" t="n">
        <f aca="false">B288+Analysis!$C$42*N288</f>
        <v>-0.00756283704407383</v>
      </c>
      <c r="P288" s="2" t="n">
        <f aca="false">1+O288</f>
        <v>0.992437162955926</v>
      </c>
    </row>
    <row r="289" customFormat="false" ht="15" hidden="false" customHeight="false" outlineLevel="0" collapsed="false">
      <c r="A289" s="6" t="n">
        <v>34669</v>
      </c>
      <c r="B289" s="1" t="n">
        <v>0.0044</v>
      </c>
      <c r="C289" s="1" t="n">
        <v>0.013</v>
      </c>
      <c r="D289" s="1" t="n">
        <v>0.008</v>
      </c>
      <c r="E289" s="1" t="n">
        <v>0.0148</v>
      </c>
      <c r="G289" s="1" t="n">
        <f aca="false">C289-$B289</f>
        <v>0.0086</v>
      </c>
      <c r="I289" s="1" t="n">
        <f aca="false">D289-E289</f>
        <v>-0.0068</v>
      </c>
      <c r="K289" s="1" t="n">
        <f aca="false">(1-Analysis!$C$21)*B289 + Analysis!$C$21*C289</f>
        <v>0.00627292509131762</v>
      </c>
      <c r="L289" s="2" t="n">
        <f aca="false">1+K289</f>
        <v>1.00627292509132</v>
      </c>
      <c r="N289" s="1" t="n">
        <f aca="false">Analysis!$C$35*G289+Analysis!$C$36*I289</f>
        <v>-0.000489607909936743</v>
      </c>
      <c r="O289" s="1" t="n">
        <f aca="false">B289+Analysis!$C$42*N289</f>
        <v>0.00417690689478284</v>
      </c>
      <c r="P289" s="2" t="n">
        <f aca="false">1+O289</f>
        <v>1.00417690689478</v>
      </c>
    </row>
    <row r="290" customFormat="false" ht="15" hidden="false" customHeight="false" outlineLevel="0" collapsed="false">
      <c r="A290" s="6" t="n">
        <v>34700</v>
      </c>
      <c r="B290" s="1" t="n">
        <v>0.0042</v>
      </c>
      <c r="C290" s="1" t="n">
        <v>0.0222</v>
      </c>
      <c r="D290" s="1" t="n">
        <v>0.0415</v>
      </c>
      <c r="E290" s="1" t="n">
        <v>0.0189</v>
      </c>
      <c r="G290" s="1" t="n">
        <f aca="false">C290-$B290</f>
        <v>0.018</v>
      </c>
      <c r="I290" s="1" t="n">
        <f aca="false">D290-E290</f>
        <v>0.0226</v>
      </c>
      <c r="K290" s="1" t="n">
        <f aca="false">(1-Analysis!$C$21)*B290 + Analysis!$C$21*C290</f>
        <v>0.00812007577252525</v>
      </c>
      <c r="L290" s="2" t="n">
        <f aca="false">1+K290</f>
        <v>1.00812007577253</v>
      </c>
      <c r="N290" s="1" t="n">
        <f aca="false">Analysis!$C$35*G290+Analysis!$C$36*I290</f>
        <v>0.0207150776873837</v>
      </c>
      <c r="O290" s="1" t="n">
        <f aca="false">B290+Analysis!$C$42*N290</f>
        <v>0.0136389631219198</v>
      </c>
      <c r="P290" s="2" t="n">
        <f aca="false">1+O290</f>
        <v>1.01363896312192</v>
      </c>
    </row>
    <row r="291" customFormat="false" ht="15" hidden="false" customHeight="false" outlineLevel="0" collapsed="false">
      <c r="A291" s="6" t="n">
        <v>34731</v>
      </c>
      <c r="B291" s="1" t="n">
        <v>0.004</v>
      </c>
      <c r="C291" s="1" t="n">
        <v>0.0403</v>
      </c>
      <c r="D291" s="1" t="n">
        <v>0.0507</v>
      </c>
      <c r="E291" s="1" t="n">
        <v>0.0388</v>
      </c>
      <c r="G291" s="1" t="n">
        <f aca="false">C291-$B291</f>
        <v>0.0363</v>
      </c>
      <c r="I291" s="1" t="n">
        <f aca="false">D291-E291</f>
        <v>0.0119</v>
      </c>
      <c r="K291" s="1" t="n">
        <f aca="false">(1-Analysis!$C$21)*B291 + Analysis!$C$21*C291</f>
        <v>0.0119054861412592</v>
      </c>
      <c r="L291" s="2" t="n">
        <f aca="false">1+K291</f>
        <v>1.01190548614126</v>
      </c>
      <c r="N291" s="1" t="n">
        <f aca="false">Analysis!$C$35*G291+Analysis!$C$36*I291</f>
        <v>0.0218982835712691</v>
      </c>
      <c r="O291" s="1" t="n">
        <f aca="false">B291+Analysis!$C$42*N291</f>
        <v>0.0139780987637056</v>
      </c>
      <c r="P291" s="2" t="n">
        <f aca="false">1+O291</f>
        <v>1.01397809876371</v>
      </c>
    </row>
    <row r="292" customFormat="false" ht="15" hidden="false" customHeight="false" outlineLevel="0" collapsed="false">
      <c r="A292" s="6" t="n">
        <v>34759</v>
      </c>
      <c r="B292" s="1" t="n">
        <v>0.0046</v>
      </c>
      <c r="C292" s="1" t="n">
        <v>0.0265</v>
      </c>
      <c r="D292" s="1" t="n">
        <v>0.0061</v>
      </c>
      <c r="E292" s="1" t="n">
        <v>0.03</v>
      </c>
      <c r="G292" s="1" t="n">
        <f aca="false">C292-$B292</f>
        <v>0.0219</v>
      </c>
      <c r="I292" s="1" t="n">
        <f aca="false">D292-E292</f>
        <v>-0.0239</v>
      </c>
      <c r="K292" s="1" t="n">
        <f aca="false">(1-Analysis!$C$21)*B292 + Analysis!$C$21*C292</f>
        <v>0.00936942552323905</v>
      </c>
      <c r="L292" s="2" t="n">
        <f aca="false">1+K292</f>
        <v>1.00936942552324</v>
      </c>
      <c r="N292" s="1" t="n">
        <f aca="false">Analysis!$C$35*G292+Analysis!$C$36*I292</f>
        <v>-0.00513273001786382</v>
      </c>
      <c r="O292" s="1" t="n">
        <f aca="false">B292+Analysis!$C$42*N292</f>
        <v>0.00226123738059193</v>
      </c>
      <c r="P292" s="2" t="n">
        <f aca="false">1+O292</f>
        <v>1.00226123738059</v>
      </c>
    </row>
    <row r="293" customFormat="false" ht="15" hidden="false" customHeight="false" outlineLevel="0" collapsed="false">
      <c r="A293" s="6" t="n">
        <v>34790</v>
      </c>
      <c r="B293" s="1" t="n">
        <v>0.0044</v>
      </c>
      <c r="C293" s="1" t="n">
        <v>0.0255</v>
      </c>
      <c r="D293" s="1" t="n">
        <v>0.0343</v>
      </c>
      <c r="E293" s="1" t="n">
        <v>0.0226</v>
      </c>
      <c r="G293" s="1" t="n">
        <f aca="false">C293-$B293</f>
        <v>0.0211</v>
      </c>
      <c r="I293" s="1" t="n">
        <f aca="false">D293-E293</f>
        <v>0.0117</v>
      </c>
      <c r="K293" s="1" t="n">
        <f aca="false">(1-Analysis!$C$21)*B293 + Analysis!$C$21*C293</f>
        <v>0.00899519993334904</v>
      </c>
      <c r="L293" s="2" t="n">
        <f aca="false">1+K293</f>
        <v>1.00899519993335</v>
      </c>
      <c r="N293" s="1" t="n">
        <f aca="false">Analysis!$C$35*G293+Analysis!$C$36*I293</f>
        <v>0.0155517977692594</v>
      </c>
      <c r="O293" s="1" t="n">
        <f aca="false">B293+Analysis!$C$42*N293</f>
        <v>0.0114862802369791</v>
      </c>
      <c r="P293" s="2" t="n">
        <f aca="false">1+O293</f>
        <v>1.01148628023698</v>
      </c>
    </row>
    <row r="294" customFormat="false" ht="15" hidden="false" customHeight="false" outlineLevel="0" collapsed="false">
      <c r="A294" s="6" t="n">
        <v>34820</v>
      </c>
      <c r="B294" s="1" t="n">
        <v>0.0054</v>
      </c>
      <c r="C294" s="1" t="n">
        <v>0.0344</v>
      </c>
      <c r="D294" s="1" t="n">
        <v>0.0506</v>
      </c>
      <c r="E294" s="1" t="n">
        <v>0.0307</v>
      </c>
      <c r="G294" s="1" t="n">
        <f aca="false">C294-$B294</f>
        <v>0.029</v>
      </c>
      <c r="I294" s="1" t="n">
        <f aca="false">D294-E294</f>
        <v>0.0199</v>
      </c>
      <c r="K294" s="1" t="n">
        <f aca="false">(1-Analysis!$C$21)*B294 + Analysis!$C$21*C294</f>
        <v>0.0117156776335129</v>
      </c>
      <c r="L294" s="2" t="n">
        <f aca="false">1+K294</f>
        <v>1.01171567763351</v>
      </c>
      <c r="N294" s="1" t="n">
        <f aca="false">Analysis!$C$35*G294+Analysis!$C$36*I294</f>
        <v>0.0236288680532192</v>
      </c>
      <c r="O294" s="1" t="n">
        <f aca="false">B294+Analysis!$C$42*N294</f>
        <v>0.0161666511095384</v>
      </c>
      <c r="P294" s="2" t="n">
        <f aca="false">1+O294</f>
        <v>1.01616665110954</v>
      </c>
    </row>
    <row r="295" customFormat="false" ht="15" hidden="false" customHeight="false" outlineLevel="0" collapsed="false">
      <c r="A295" s="6" t="n">
        <v>34851</v>
      </c>
      <c r="B295" s="1" t="n">
        <v>0.0047</v>
      </c>
      <c r="C295" s="1" t="n">
        <v>0.0319</v>
      </c>
      <c r="D295" s="1" t="n">
        <v>0.023</v>
      </c>
      <c r="E295" s="1" t="n">
        <v>0.0377</v>
      </c>
      <c r="G295" s="1" t="n">
        <f aca="false">C295-$B295</f>
        <v>0.0272</v>
      </c>
      <c r="I295" s="1" t="n">
        <f aca="false">D295-E295</f>
        <v>-0.0147</v>
      </c>
      <c r="K295" s="1" t="n">
        <f aca="false">(1-Analysis!$C$21)*B295 + Analysis!$C$21*C295</f>
        <v>0.0106236700562604</v>
      </c>
      <c r="L295" s="2" t="n">
        <f aca="false">1+K295</f>
        <v>1.01062367005626</v>
      </c>
      <c r="N295" s="1" t="n">
        <f aca="false">Analysis!$C$35*G295+Analysis!$C$36*I295</f>
        <v>0.00246918367361367</v>
      </c>
      <c r="O295" s="1" t="n">
        <f aca="false">B295+Analysis!$C$42*N295</f>
        <v>0.00582509998698583</v>
      </c>
      <c r="P295" s="2" t="n">
        <f aca="false">1+O295</f>
        <v>1.00582509998699</v>
      </c>
    </row>
    <row r="296" customFormat="false" ht="15" hidden="false" customHeight="false" outlineLevel="0" collapsed="false">
      <c r="A296" s="6" t="n">
        <v>34881</v>
      </c>
      <c r="B296" s="1" t="n">
        <v>0.0045</v>
      </c>
      <c r="C296" s="1" t="n">
        <v>0.0416</v>
      </c>
      <c r="D296" s="1" t="n">
        <v>0.0403</v>
      </c>
      <c r="E296" s="1" t="n">
        <v>0.041</v>
      </c>
      <c r="G296" s="1" t="n">
        <f aca="false">C296-$B296</f>
        <v>0.0371</v>
      </c>
      <c r="I296" s="1" t="n">
        <f aca="false">D296-E296</f>
        <v>-0.000699999999999985</v>
      </c>
      <c r="K296" s="1" t="n">
        <f aca="false">(1-Analysis!$C$21)*B296 + Analysis!$C$21*C296</f>
        <v>0.0125797117311493</v>
      </c>
      <c r="L296" s="2" t="n">
        <f aca="false">1+K296</f>
        <v>1.01257971173115</v>
      </c>
      <c r="N296" s="1" t="n">
        <f aca="false">Analysis!$C$35*G296+Analysis!$C$36*I296</f>
        <v>0.0147891442210644</v>
      </c>
      <c r="O296" s="1" t="n">
        <f aca="false">B296+Analysis!$C$42*N296</f>
        <v>0.0112387720680573</v>
      </c>
      <c r="P296" s="2" t="n">
        <f aca="false">1+O296</f>
        <v>1.01123877206806</v>
      </c>
    </row>
    <row r="297" customFormat="false" ht="15" hidden="false" customHeight="false" outlineLevel="0" collapsed="false">
      <c r="A297" s="6" t="n">
        <v>34912</v>
      </c>
      <c r="B297" s="1" t="n">
        <v>0.0047</v>
      </c>
      <c r="C297" s="1" t="n">
        <v>0.0102</v>
      </c>
      <c r="D297" s="1" t="n">
        <v>0.0373</v>
      </c>
      <c r="E297" s="1" t="n">
        <v>0.0024</v>
      </c>
      <c r="G297" s="1" t="n">
        <f aca="false">C297-$B297</f>
        <v>0.0055</v>
      </c>
      <c r="I297" s="1" t="n">
        <f aca="false">D297-E297</f>
        <v>0.0349</v>
      </c>
      <c r="K297" s="1" t="n">
        <f aca="false">(1-Analysis!$C$21)*B297 + Analysis!$C$21*C297</f>
        <v>0.00589780093049383</v>
      </c>
      <c r="L297" s="2" t="n">
        <f aca="false">1+K297</f>
        <v>1.00589780093049</v>
      </c>
      <c r="N297" s="1" t="n">
        <f aca="false">Analysis!$C$35*G297+Analysis!$C$36*I297</f>
        <v>0.0228528878280611</v>
      </c>
      <c r="O297" s="1" t="n">
        <f aca="false">B297+Analysis!$C$42*N297</f>
        <v>0.0151130705514955</v>
      </c>
      <c r="P297" s="2" t="n">
        <f aca="false">1+O297</f>
        <v>1.0151130705515</v>
      </c>
    </row>
    <row r="298" customFormat="false" ht="15" hidden="false" customHeight="false" outlineLevel="0" collapsed="false">
      <c r="A298" s="6" t="n">
        <v>34943</v>
      </c>
      <c r="B298" s="1" t="n">
        <v>0.0043</v>
      </c>
      <c r="C298" s="1" t="n">
        <v>0.0379</v>
      </c>
      <c r="D298" s="1" t="n">
        <v>0.0434</v>
      </c>
      <c r="E298" s="1" t="n">
        <v>0.0437</v>
      </c>
      <c r="G298" s="1" t="n">
        <f aca="false">C298-$B298</f>
        <v>0.0336</v>
      </c>
      <c r="I298" s="1" t="n">
        <f aca="false">D298-E298</f>
        <v>-0.000300000000000002</v>
      </c>
      <c r="K298" s="1" t="n">
        <f aca="false">(1-Analysis!$C$21)*B298 + Analysis!$C$21*C298</f>
        <v>0.0116174747753805</v>
      </c>
      <c r="L298" s="2" t="n">
        <f aca="false">1+K298</f>
        <v>1.01161747477538</v>
      </c>
      <c r="N298" s="1" t="n">
        <f aca="false">Analysis!$C$35*G298+Analysis!$C$36*I298</f>
        <v>0.0135910579125418</v>
      </c>
      <c r="O298" s="1" t="n">
        <f aca="false">B298+Analysis!$C$42*N298</f>
        <v>0.0104928560616738</v>
      </c>
      <c r="P298" s="2" t="n">
        <f aca="false">1+O298</f>
        <v>1.01049285606167</v>
      </c>
    </row>
    <row r="299" customFormat="false" ht="15" hidden="false" customHeight="false" outlineLevel="0" collapsed="false">
      <c r="A299" s="6" t="n">
        <v>34973</v>
      </c>
      <c r="B299" s="1" t="n">
        <v>0.0047</v>
      </c>
      <c r="C299" s="1" t="n">
        <v>-0.0104</v>
      </c>
      <c r="D299" s="1" t="n">
        <v>-0.0267</v>
      </c>
      <c r="E299" s="1" t="n">
        <v>-0.001</v>
      </c>
      <c r="G299" s="1" t="n">
        <f aca="false">C299-$B299</f>
        <v>-0.0151</v>
      </c>
      <c r="I299" s="1" t="n">
        <f aca="false">D299-E299</f>
        <v>-0.0257</v>
      </c>
      <c r="K299" s="1" t="n">
        <f aca="false">(1-Analysis!$C$21)*B299 + Analysis!$C$21*C299</f>
        <v>0.00141149199082604</v>
      </c>
      <c r="L299" s="2" t="n">
        <f aca="false">1+K299</f>
        <v>1.00141149199083</v>
      </c>
      <c r="N299" s="1" t="n">
        <f aca="false">Analysis!$C$35*G299+Analysis!$C$36*I299</f>
        <v>-0.0213564833665798</v>
      </c>
      <c r="O299" s="1" t="n">
        <f aca="false">B299+Analysis!$C$42*N299</f>
        <v>-0.0050312238917555</v>
      </c>
      <c r="P299" s="2" t="n">
        <f aca="false">1+O299</f>
        <v>0.994968776108245</v>
      </c>
    </row>
    <row r="300" customFormat="false" ht="15" hidden="false" customHeight="false" outlineLevel="0" collapsed="false">
      <c r="A300" s="6" t="n">
        <v>35004</v>
      </c>
      <c r="B300" s="1" t="n">
        <v>0.0042</v>
      </c>
      <c r="C300" s="1" t="n">
        <v>0.0438</v>
      </c>
      <c r="D300" s="1" t="n">
        <v>0.0502</v>
      </c>
      <c r="E300" s="1" t="n">
        <v>0.0414</v>
      </c>
      <c r="G300" s="1" t="n">
        <f aca="false">C300-$B300</f>
        <v>0.0396</v>
      </c>
      <c r="I300" s="1" t="n">
        <f aca="false">D300-E300</f>
        <v>0.00879999999999999</v>
      </c>
      <c r="K300" s="1" t="n">
        <f aca="false">(1-Analysis!$C$21)*B300 + Analysis!$C$21*C300</f>
        <v>0.0128241666995555</v>
      </c>
      <c r="L300" s="2" t="n">
        <f aca="false">1+K300</f>
        <v>1.01282416669956</v>
      </c>
      <c r="N300" s="1" t="n">
        <f aca="false">Analysis!$C$35*G300+Analysis!$C$36*I300</f>
        <v>0.0214207841801265</v>
      </c>
      <c r="O300" s="1" t="n">
        <f aca="false">B300+Analysis!$C$42*N300</f>
        <v>0.0139605229857264</v>
      </c>
      <c r="P300" s="2" t="n">
        <f aca="false">1+O300</f>
        <v>1.01396052298573</v>
      </c>
    </row>
    <row r="301" customFormat="false" ht="15" hidden="false" customHeight="false" outlineLevel="0" collapsed="false">
      <c r="A301" s="6" t="n">
        <v>35034</v>
      </c>
      <c r="B301" s="1" t="n">
        <v>0.0049</v>
      </c>
      <c r="C301" s="1" t="n">
        <v>0.0153</v>
      </c>
      <c r="D301" s="1" t="n">
        <v>0.0148</v>
      </c>
      <c r="E301" s="1" t="n">
        <v>0.0099</v>
      </c>
      <c r="G301" s="1" t="n">
        <f aca="false">C301-$B301</f>
        <v>0.0104</v>
      </c>
      <c r="I301" s="1" t="n">
        <f aca="false">D301-E301</f>
        <v>0.0049</v>
      </c>
      <c r="K301" s="1" t="n">
        <f aca="false">(1-Analysis!$C$21)*B301 + Analysis!$C$21*C301</f>
        <v>0.00716493266857014</v>
      </c>
      <c r="L301" s="2" t="n">
        <f aca="false">1+K301</f>
        <v>1.00716493266857</v>
      </c>
      <c r="N301" s="1" t="n">
        <f aca="false">Analysis!$C$35*G301+Analysis!$C$36*I301</f>
        <v>0.00715371146073688</v>
      </c>
      <c r="O301" s="1" t="n">
        <f aca="false">B301+Analysis!$C$42*N301</f>
        <v>0.00815963627468675</v>
      </c>
      <c r="P301" s="2" t="n">
        <f aca="false">1+O301</f>
        <v>1.00815963627469</v>
      </c>
    </row>
    <row r="302" customFormat="false" ht="15" hidden="false" customHeight="false" outlineLevel="0" collapsed="false">
      <c r="A302" s="6" t="n">
        <v>35065</v>
      </c>
      <c r="B302" s="1" t="n">
        <v>0.0043</v>
      </c>
      <c r="C302" s="1" t="n">
        <v>0.0269</v>
      </c>
      <c r="D302" s="1" t="n">
        <v>0.0273</v>
      </c>
      <c r="E302" s="1" t="n">
        <v>0.0287</v>
      </c>
      <c r="G302" s="1" t="n">
        <f aca="false">C302-$B302</f>
        <v>0.0226</v>
      </c>
      <c r="I302" s="1" t="n">
        <f aca="false">D302-E302</f>
        <v>-0.0014</v>
      </c>
      <c r="K302" s="1" t="n">
        <f aca="false">(1-Analysis!$C$21)*B302 + Analysis!$C$21*C302</f>
        <v>0.00922187291439281</v>
      </c>
      <c r="L302" s="2" t="n">
        <f aca="false">1+K302</f>
        <v>1.00922187291439</v>
      </c>
      <c r="N302" s="1" t="n">
        <f aca="false">Analysis!$C$35*G302+Analysis!$C$36*I302</f>
        <v>0.00843437728321547</v>
      </c>
      <c r="O302" s="1" t="n">
        <f aca="false">B302+Analysis!$C$42*N302</f>
        <v>0.00814318018662876</v>
      </c>
      <c r="P302" s="2" t="n">
        <f aca="false">1+O302</f>
        <v>1.00814318018663</v>
      </c>
    </row>
    <row r="303" customFormat="false" ht="15" hidden="false" customHeight="false" outlineLevel="0" collapsed="false">
      <c r="A303" s="6" t="n">
        <v>35096</v>
      </c>
      <c r="B303" s="1" t="n">
        <v>0.0039</v>
      </c>
      <c r="C303" s="1" t="n">
        <v>0.0172</v>
      </c>
      <c r="D303" s="1" t="n">
        <v>0.0185</v>
      </c>
      <c r="E303" s="1" t="n">
        <v>0.0187</v>
      </c>
      <c r="G303" s="1" t="n">
        <f aca="false">C303-$B303</f>
        <v>0.0133</v>
      </c>
      <c r="I303" s="1" t="n">
        <f aca="false">D303-E303</f>
        <v>-0.000200000000000002</v>
      </c>
      <c r="K303" s="1" t="n">
        <f aca="false">(1-Analysis!$C$21)*B303 + Analysis!$C$21*C303</f>
        <v>0.00679650043192143</v>
      </c>
      <c r="L303" s="2" t="n">
        <f aca="false">1+K303</f>
        <v>1.00679650043192</v>
      </c>
      <c r="N303" s="1" t="n">
        <f aca="false">Analysis!$C$35*G303+Analysis!$C$36*I303</f>
        <v>0.0053318372218087</v>
      </c>
      <c r="O303" s="1" t="n">
        <f aca="false">B303+Analysis!$C$42*N303</f>
        <v>0.00632948714304762</v>
      </c>
      <c r="P303" s="2" t="n">
        <f aca="false">1+O303</f>
        <v>1.00632948714305</v>
      </c>
    </row>
    <row r="304" customFormat="false" ht="15" hidden="false" customHeight="false" outlineLevel="0" collapsed="false">
      <c r="A304" s="6" t="n">
        <v>35125</v>
      </c>
      <c r="B304" s="1" t="n">
        <v>0.0039</v>
      </c>
      <c r="C304" s="1" t="n">
        <v>0.0113</v>
      </c>
      <c r="D304" s="1" t="n">
        <v>0.0131</v>
      </c>
      <c r="E304" s="1" t="n">
        <v>0.0052</v>
      </c>
      <c r="G304" s="1" t="n">
        <f aca="false">C304-$B304</f>
        <v>0.0074</v>
      </c>
      <c r="I304" s="1" t="n">
        <f aca="false">D304-E304</f>
        <v>0.0079</v>
      </c>
      <c r="K304" s="1" t="n">
        <f aca="false">(1-Analysis!$C$21)*B304 + Analysis!$C$21*C304</f>
        <v>0.0055115867064826</v>
      </c>
      <c r="L304" s="2" t="n">
        <f aca="false">1+K304</f>
        <v>1.00551158670648</v>
      </c>
      <c r="N304" s="1" t="n">
        <f aca="false">Analysis!$C$35*G304+Analysis!$C$36*I304</f>
        <v>0.00769511713993301</v>
      </c>
      <c r="O304" s="1" t="n">
        <f aca="false">B304+Analysis!$C$42*N304</f>
        <v>0.00740633137846822</v>
      </c>
      <c r="P304" s="2" t="n">
        <f aca="false">1+O304</f>
        <v>1.00740633137847</v>
      </c>
    </row>
    <row r="305" customFormat="false" ht="15" hidden="false" customHeight="false" outlineLevel="0" collapsed="false">
      <c r="A305" s="6" t="n">
        <v>35156</v>
      </c>
      <c r="B305" s="1" t="n">
        <v>0.0046</v>
      </c>
      <c r="C305" s="1" t="n">
        <v>0.0252</v>
      </c>
      <c r="D305" s="1" t="n">
        <v>-0.0026</v>
      </c>
      <c r="E305" s="1" t="n">
        <v>0.0291</v>
      </c>
      <c r="G305" s="1" t="n">
        <f aca="false">C305-$B305</f>
        <v>0.0206</v>
      </c>
      <c r="I305" s="1" t="n">
        <f aca="false">D305-E305</f>
        <v>-0.0317</v>
      </c>
      <c r="K305" s="1" t="n">
        <f aca="false">(1-Analysis!$C$21)*B305 + Analysis!$C$21*C305</f>
        <v>0.00908630893966778</v>
      </c>
      <c r="L305" s="2" t="n">
        <f aca="false">1+K305</f>
        <v>1.00908630893967</v>
      </c>
      <c r="N305" s="1" t="n">
        <f aca="false">Analysis!$C$35*G305+Analysis!$C$36*I305</f>
        <v>-0.010269252836993</v>
      </c>
      <c r="O305" s="1" t="n">
        <f aca="false">B305+Analysis!$C$42*N305</f>
        <v>-7.9253453974794E-005</v>
      </c>
      <c r="P305" s="2" t="n">
        <f aca="false">1+O305</f>
        <v>0.999920746546025</v>
      </c>
    </row>
    <row r="306" customFormat="false" ht="15" hidden="false" customHeight="false" outlineLevel="0" collapsed="false">
      <c r="A306" s="6" t="n">
        <v>35186</v>
      </c>
      <c r="B306" s="1" t="n">
        <v>0.0042</v>
      </c>
      <c r="C306" s="1" t="n">
        <v>0.0278</v>
      </c>
      <c r="D306" s="1" t="n">
        <v>0.03</v>
      </c>
      <c r="E306" s="1" t="n">
        <v>0.0361</v>
      </c>
      <c r="G306" s="1" t="n">
        <f aca="false">C306-$B306</f>
        <v>0.0236</v>
      </c>
      <c r="I306" s="1" t="n">
        <f aca="false">D306-E306</f>
        <v>-0.0061</v>
      </c>
      <c r="K306" s="1" t="n">
        <f aca="false">(1-Analysis!$C$21)*B306 + Analysis!$C$21*C306</f>
        <v>0.00933965490175532</v>
      </c>
      <c r="L306" s="2" t="n">
        <f aca="false">1+K306</f>
        <v>1.00933965490176</v>
      </c>
      <c r="N306" s="1" t="n">
        <f aca="false">Analysis!$C$35*G306+Analysis!$C$36*I306</f>
        <v>0.00607004188797914</v>
      </c>
      <c r="O306" s="1" t="n">
        <f aca="false">B306+Analysis!$C$42*N306</f>
        <v>0.00696585501603202</v>
      </c>
      <c r="P306" s="2" t="n">
        <f aca="false">1+O306</f>
        <v>1.00696585501603</v>
      </c>
    </row>
    <row r="307" customFormat="false" ht="15" hidden="false" customHeight="false" outlineLevel="0" collapsed="false">
      <c r="A307" s="6" t="n">
        <v>35217</v>
      </c>
      <c r="B307" s="1" t="n">
        <v>0.004</v>
      </c>
      <c r="C307" s="1" t="n">
        <v>-0.0073</v>
      </c>
      <c r="D307" s="1" t="n">
        <v>0.0006</v>
      </c>
      <c r="E307" s="1" t="n">
        <v>-0.0038</v>
      </c>
      <c r="G307" s="1" t="n">
        <f aca="false">C307-$B307</f>
        <v>-0.0113</v>
      </c>
      <c r="I307" s="1" t="n">
        <f aca="false">D307-E307</f>
        <v>0.0044</v>
      </c>
      <c r="K307" s="1" t="n">
        <f aca="false">(1-Analysis!$C$21)*B307 + Analysis!$C$21*C307</f>
        <v>0.0015390635428036</v>
      </c>
      <c r="L307" s="2" t="n">
        <f aca="false">1+K307</f>
        <v>1.0015390635428</v>
      </c>
      <c r="N307" s="1" t="n">
        <f aca="false">Analysis!$C$35*G307+Analysis!$C$36*I307</f>
        <v>-0.00203332180610345</v>
      </c>
      <c r="O307" s="1" t="n">
        <f aca="false">B307+Analysis!$C$42*N307</f>
        <v>0.00307350337602187</v>
      </c>
      <c r="P307" s="2" t="n">
        <f aca="false">1+O307</f>
        <v>1.00307350337602</v>
      </c>
    </row>
    <row r="308" customFormat="false" ht="15" hidden="false" customHeight="false" outlineLevel="0" collapsed="false">
      <c r="A308" s="6" t="n">
        <v>35247</v>
      </c>
      <c r="B308" s="1" t="n">
        <v>0.0045</v>
      </c>
      <c r="C308" s="1" t="n">
        <v>-0.0551</v>
      </c>
      <c r="D308" s="1" t="n">
        <v>-0.0408</v>
      </c>
      <c r="E308" s="1" t="n">
        <v>-0.0631</v>
      </c>
      <c r="G308" s="1" t="n">
        <f aca="false">C308-$B308</f>
        <v>-0.0596</v>
      </c>
      <c r="I308" s="1" t="n">
        <f aca="false">D308-E308</f>
        <v>0.0223</v>
      </c>
      <c r="K308" s="1" t="n">
        <f aca="false">(1-Analysis!$C$21)*B308 + Analysis!$C$21*C308</f>
        <v>-0.00847980644680581</v>
      </c>
      <c r="L308" s="2" t="n">
        <f aca="false">1+K308</f>
        <v>0.991520193553194</v>
      </c>
      <c r="N308" s="1" t="n">
        <f aca="false">Analysis!$C$35*G308+Analysis!$C$36*I308</f>
        <v>-0.0112598124789728</v>
      </c>
      <c r="O308" s="1" t="n">
        <f aca="false">B308+Analysis!$C$42*N308</f>
        <v>-0.000630608552507877</v>
      </c>
      <c r="P308" s="2" t="n">
        <f aca="false">1+O308</f>
        <v>0.999369391447492</v>
      </c>
    </row>
    <row r="309" customFormat="false" ht="15" hidden="false" customHeight="false" outlineLevel="0" collapsed="false">
      <c r="A309" s="6" t="n">
        <v>35278</v>
      </c>
      <c r="B309" s="1" t="n">
        <v>0.0041</v>
      </c>
      <c r="C309" s="1" t="n">
        <v>0.0318</v>
      </c>
      <c r="D309" s="1" t="n">
        <v>0.0344</v>
      </c>
      <c r="E309" s="1" t="n">
        <v>0.025</v>
      </c>
      <c r="G309" s="1" t="n">
        <f aca="false">C309-$B309</f>
        <v>0.0277</v>
      </c>
      <c r="I309" s="1" t="n">
        <f aca="false">D309-E309</f>
        <v>0.0094</v>
      </c>
      <c r="K309" s="1" t="n">
        <f aca="false">(1-Analysis!$C$21)*B309 + Analysis!$C$21*C309</f>
        <v>0.0101325610499416</v>
      </c>
      <c r="L309" s="2" t="n">
        <f aca="false">1+K309</f>
        <v>1.01013256104994</v>
      </c>
      <c r="N309" s="1" t="n">
        <f aca="false">Analysis!$C$35*G309+Analysis!$C$36*I309</f>
        <v>0.0168987126784518</v>
      </c>
      <c r="O309" s="1" t="n">
        <f aca="false">B309+Analysis!$C$42*N309</f>
        <v>0.0118000109865371</v>
      </c>
      <c r="P309" s="2" t="n">
        <f aca="false">1+O309</f>
        <v>1.01180001098654</v>
      </c>
    </row>
    <row r="310" customFormat="false" ht="15" hidden="false" customHeight="false" outlineLevel="0" collapsed="false">
      <c r="A310" s="6" t="n">
        <v>35309</v>
      </c>
      <c r="B310" s="1" t="n">
        <v>0.0044</v>
      </c>
      <c r="C310" s="1" t="n">
        <v>0.0545</v>
      </c>
      <c r="D310" s="1" t="n">
        <v>0.0325</v>
      </c>
      <c r="E310" s="1" t="n">
        <v>0.0659</v>
      </c>
      <c r="G310" s="1" t="n">
        <f aca="false">C310-$B310</f>
        <v>0.0501</v>
      </c>
      <c r="I310" s="1" t="n">
        <f aca="false">D310-E310</f>
        <v>-0.0334</v>
      </c>
      <c r="K310" s="1" t="n">
        <f aca="false">(1-Analysis!$C$21)*B310 + Analysis!$C$21*C310</f>
        <v>0.0153108775668619</v>
      </c>
      <c r="L310" s="2" t="n">
        <f aca="false">1+K310</f>
        <v>1.01531087756686</v>
      </c>
      <c r="N310" s="1" t="n">
        <f aca="false">Analysis!$C$35*G310+Analysis!$C$36*I310</f>
        <v>0.00081543763118714</v>
      </c>
      <c r="O310" s="1" t="n">
        <f aca="false">B310+Analysis!$C$42*N310</f>
        <v>0.00477155958790774</v>
      </c>
      <c r="P310" s="2" t="n">
        <f aca="false">1+O310</f>
        <v>1.00477155958791</v>
      </c>
    </row>
    <row r="311" customFormat="false" ht="15" hidden="false" customHeight="false" outlineLevel="0" collapsed="false">
      <c r="A311" s="6" t="n">
        <v>35339</v>
      </c>
      <c r="B311" s="1" t="n">
        <v>0.0042</v>
      </c>
      <c r="C311" s="1" t="n">
        <v>0.0129</v>
      </c>
      <c r="D311" s="1" t="n">
        <v>0.0345</v>
      </c>
      <c r="E311" s="1" t="n">
        <v>0.0028</v>
      </c>
      <c r="G311" s="1" t="n">
        <f aca="false">C311-$B311</f>
        <v>0.0087</v>
      </c>
      <c r="I311" s="1" t="n">
        <f aca="false">D311-E311</f>
        <v>0.0317</v>
      </c>
      <c r="K311" s="1" t="n">
        <f aca="false">(1-Analysis!$C$21)*B311 + Analysis!$C$21*C311</f>
        <v>0.00609470329005387</v>
      </c>
      <c r="L311" s="2" t="n">
        <f aca="false">1+K311</f>
        <v>1.00609470329005</v>
      </c>
      <c r="N311" s="1" t="n">
        <f aca="false">Analysis!$C$35*G311+Analysis!$C$36*I311</f>
        <v>0.0222753884369185</v>
      </c>
      <c r="O311" s="1" t="n">
        <f aca="false">B311+Analysis!$C$42*N311</f>
        <v>0.014349929107462</v>
      </c>
      <c r="P311" s="2" t="n">
        <f aca="false">1+O311</f>
        <v>1.01434992910746</v>
      </c>
    </row>
    <row r="312" customFormat="false" ht="15" hidden="false" customHeight="false" outlineLevel="0" collapsed="false">
      <c r="A312" s="6" t="n">
        <v>35370</v>
      </c>
      <c r="B312" s="1" t="n">
        <v>0.0041</v>
      </c>
      <c r="C312" s="1" t="n">
        <v>0.0666</v>
      </c>
      <c r="D312" s="1" t="n">
        <v>0.0683</v>
      </c>
      <c r="E312" s="1" t="n">
        <v>0.0677</v>
      </c>
      <c r="G312" s="1" t="n">
        <f aca="false">C312-$B312</f>
        <v>0.0625</v>
      </c>
      <c r="I312" s="1" t="n">
        <f aca="false">D312-E312</f>
        <v>0.000600000000000003</v>
      </c>
      <c r="K312" s="1" t="n">
        <f aca="false">(1-Analysis!$C$21)*B312 + Analysis!$C$21*C312</f>
        <v>0.0177113742101571</v>
      </c>
      <c r="L312" s="2" t="n">
        <f aca="false">1+K312</f>
        <v>1.01771137421016</v>
      </c>
      <c r="N312" s="1" t="n">
        <f aca="false">Analysis!$C$35*G312+Analysis!$C$36*I312</f>
        <v>0.0259644980762932</v>
      </c>
      <c r="O312" s="1" t="n">
        <f aca="false">B312+Analysis!$C$42*N312</f>
        <v>0.015930896486116</v>
      </c>
      <c r="P312" s="2" t="n">
        <f aca="false">1+O312</f>
        <v>1.01593089648612</v>
      </c>
    </row>
    <row r="313" customFormat="false" ht="15" hidden="false" customHeight="false" outlineLevel="0" collapsed="false">
      <c r="A313" s="6" t="n">
        <v>35400</v>
      </c>
      <c r="B313" s="1" t="n">
        <v>0.0046</v>
      </c>
      <c r="C313" s="1" t="n">
        <v>-0.0124</v>
      </c>
      <c r="D313" s="1" t="n">
        <v>-0.0005</v>
      </c>
      <c r="E313" s="1" t="n">
        <v>-0.0153</v>
      </c>
      <c r="G313" s="1" t="n">
        <f aca="false">C313-$B313</f>
        <v>-0.017</v>
      </c>
      <c r="I313" s="1" t="n">
        <f aca="false">D313-E313</f>
        <v>0.0148</v>
      </c>
      <c r="K313" s="1" t="n">
        <f aca="false">(1-Analysis!$C$21)*B313 + Analysis!$C$21*C313</f>
        <v>0.000897706214837268</v>
      </c>
      <c r="L313" s="2" t="n">
        <f aca="false">1+K313</f>
        <v>1.00089770621484</v>
      </c>
      <c r="N313" s="1" t="n">
        <f aca="false">Analysis!$C$35*G313+Analysis!$C$36*I313</f>
        <v>0.00176945009973951</v>
      </c>
      <c r="O313" s="1" t="n">
        <f aca="false">B313+Analysis!$C$42*N313</f>
        <v>0.00540626172344458</v>
      </c>
      <c r="P313" s="2" t="n">
        <f aca="false">1+O313</f>
        <v>1.00540626172344</v>
      </c>
    </row>
    <row r="314" customFormat="false" ht="15" hidden="false" customHeight="false" outlineLevel="0" collapsed="false">
      <c r="A314" s="6" t="n">
        <v>35431</v>
      </c>
      <c r="B314" s="1" t="n">
        <v>0.0045</v>
      </c>
      <c r="C314" s="1" t="n">
        <v>0.0541</v>
      </c>
      <c r="D314" s="1" t="n">
        <v>0.0439</v>
      </c>
      <c r="E314" s="1" t="n">
        <v>0.0627</v>
      </c>
      <c r="G314" s="1" t="n">
        <f aca="false">C314-$B314</f>
        <v>0.0496</v>
      </c>
      <c r="I314" s="1" t="n">
        <f aca="false">D314-E314</f>
        <v>-0.0188</v>
      </c>
      <c r="K314" s="1" t="n">
        <f aca="false">(1-Analysis!$C$21)*B314 + Analysis!$C$21*C314</f>
        <v>0.0153019865731807</v>
      </c>
      <c r="L314" s="2" t="n">
        <f aca="false">1+K314</f>
        <v>1.01530198657318</v>
      </c>
      <c r="N314" s="1" t="n">
        <f aca="false">Analysis!$C$35*G314+Analysis!$C$36*I314</f>
        <v>0.00922797525716407</v>
      </c>
      <c r="O314" s="1" t="n">
        <f aca="false">B314+Analysis!$C$42*N314</f>
        <v>0.00870478838925178</v>
      </c>
      <c r="P314" s="2" t="n">
        <f aca="false">1+O314</f>
        <v>1.00870478838925</v>
      </c>
    </row>
    <row r="315" customFormat="false" ht="15" hidden="false" customHeight="false" outlineLevel="0" collapsed="false">
      <c r="A315" s="6" t="n">
        <v>35462</v>
      </c>
      <c r="B315" s="1" t="n">
        <v>0.0039</v>
      </c>
      <c r="C315" s="1" t="n">
        <v>-0.0009</v>
      </c>
      <c r="D315" s="1" t="n">
        <v>0.0313</v>
      </c>
      <c r="E315" s="1" t="n">
        <v>-0.0041</v>
      </c>
      <c r="G315" s="1" t="n">
        <f aca="false">C315-$B315</f>
        <v>-0.0048</v>
      </c>
      <c r="I315" s="1" t="n">
        <f aca="false">D315-E315</f>
        <v>0.0354</v>
      </c>
      <c r="K315" s="1" t="n">
        <f aca="false">(1-Analysis!$C$21)*B315 + Analysis!$C$21*C315</f>
        <v>0.00285464646065993</v>
      </c>
      <c r="L315" s="2" t="n">
        <f aca="false">1+K315</f>
        <v>1.00285464646066</v>
      </c>
      <c r="N315" s="1" t="n">
        <f aca="false">Analysis!$C$35*G315+Analysis!$C$36*I315</f>
        <v>0.0189274180506141</v>
      </c>
      <c r="O315" s="1" t="n">
        <f aca="false">B315+Analysis!$C$42*N315</f>
        <v>0.012524404101642</v>
      </c>
      <c r="P315" s="2" t="n">
        <f aca="false">1+O315</f>
        <v>1.01252440410164</v>
      </c>
    </row>
    <row r="316" customFormat="false" ht="15" hidden="false" customHeight="false" outlineLevel="0" collapsed="false">
      <c r="A316" s="6" t="n">
        <v>35490</v>
      </c>
      <c r="B316" s="1" t="n">
        <v>0.0043</v>
      </c>
      <c r="C316" s="1" t="n">
        <v>-0.0459</v>
      </c>
      <c r="D316" s="1" t="n">
        <v>-0.0447</v>
      </c>
      <c r="E316" s="1" t="n">
        <v>-0.0556</v>
      </c>
      <c r="G316" s="1" t="n">
        <f aca="false">C316-$B316</f>
        <v>-0.0502</v>
      </c>
      <c r="I316" s="1" t="n">
        <f aca="false">D316-E316</f>
        <v>0.0109</v>
      </c>
      <c r="K316" s="1" t="n">
        <f aca="false">(1-Analysis!$C$21)*B316 + Analysis!$C$21*C316</f>
        <v>-0.00663265576559819</v>
      </c>
      <c r="L316" s="2" t="n">
        <f aca="false">1+K316</f>
        <v>0.993367344234402</v>
      </c>
      <c r="N316" s="1" t="n">
        <f aca="false">Analysis!$C$35*G316+Analysis!$C$36*I316</f>
        <v>-0.014136685500186</v>
      </c>
      <c r="O316" s="1" t="n">
        <f aca="false">B316+Analysis!$C$42*N316</f>
        <v>-0.00214147490615984</v>
      </c>
      <c r="P316" s="2" t="n">
        <f aca="false">1+O316</f>
        <v>0.99785852509384</v>
      </c>
    </row>
    <row r="317" customFormat="false" ht="15" hidden="false" customHeight="false" outlineLevel="0" collapsed="false">
      <c r="A317" s="6" t="n">
        <v>35521</v>
      </c>
      <c r="B317" s="1" t="n">
        <v>0.0043</v>
      </c>
      <c r="C317" s="1" t="n">
        <v>0.0447</v>
      </c>
      <c r="D317" s="1" t="n">
        <v>0.0286</v>
      </c>
      <c r="E317" s="1" t="n">
        <v>0.0592</v>
      </c>
      <c r="G317" s="1" t="n">
        <f aca="false">C317-$B317</f>
        <v>0.0404</v>
      </c>
      <c r="I317" s="1" t="n">
        <f aca="false">D317-E317</f>
        <v>-0.0306</v>
      </c>
      <c r="K317" s="1" t="n">
        <f aca="false">(1-Analysis!$C$21)*B317 + Analysis!$C$21*C317</f>
        <v>0.0130983922894456</v>
      </c>
      <c r="L317" s="2" t="n">
        <f aca="false">1+K317</f>
        <v>1.01309839228945</v>
      </c>
      <c r="N317" s="1" t="n">
        <f aca="false">Analysis!$C$35*G317+Analysis!$C$36*I317</f>
        <v>-0.00150663387048758</v>
      </c>
      <c r="O317" s="1" t="n">
        <f aca="false">B317+Analysis!$C$42*N317</f>
        <v>0.00361349224191282</v>
      </c>
      <c r="P317" s="2" t="n">
        <f aca="false">1+O317</f>
        <v>1.00361349224191</v>
      </c>
    </row>
    <row r="318" customFormat="false" ht="15" hidden="false" customHeight="false" outlineLevel="0" collapsed="false">
      <c r="A318" s="6" t="n">
        <v>35551</v>
      </c>
      <c r="B318" s="1" t="n">
        <v>0.0049</v>
      </c>
      <c r="C318" s="1" t="n">
        <v>0.0722</v>
      </c>
      <c r="D318" s="1" t="n">
        <v>0.0629</v>
      </c>
      <c r="E318" s="1" t="n">
        <v>0.0737</v>
      </c>
      <c r="G318" s="1" t="n">
        <f aca="false">C318-$B318</f>
        <v>0.0673</v>
      </c>
      <c r="I318" s="1" t="n">
        <f aca="false">D318-E318</f>
        <v>-0.0108</v>
      </c>
      <c r="K318" s="1" t="n">
        <f aca="false">(1-Analysis!$C$21)*B318 + Analysis!$C$21*C318</f>
        <v>0.0195567277494972</v>
      </c>
      <c r="L318" s="2" t="n">
        <f aca="false">1+K318</f>
        <v>1.0195567277495</v>
      </c>
      <c r="N318" s="1" t="n">
        <f aca="false">Analysis!$C$35*G318+Analysis!$C$36*I318</f>
        <v>0.0212027027424637</v>
      </c>
      <c r="O318" s="1" t="n">
        <f aca="false">B318+Analysis!$C$42*N318</f>
        <v>0.0145611527261145</v>
      </c>
      <c r="P318" s="2" t="n">
        <f aca="false">1+O318</f>
        <v>1.01456115272611</v>
      </c>
    </row>
    <row r="319" customFormat="false" ht="15" hidden="false" customHeight="false" outlineLevel="0" collapsed="false">
      <c r="A319" s="6" t="n">
        <v>35582</v>
      </c>
      <c r="B319" s="1" t="n">
        <v>0.0037</v>
      </c>
      <c r="C319" s="1" t="n">
        <v>0.0447</v>
      </c>
      <c r="D319" s="1" t="n">
        <v>0.0452</v>
      </c>
      <c r="E319" s="1" t="n">
        <v>0.0434</v>
      </c>
      <c r="G319" s="1" t="n">
        <f aca="false">C319-$B319</f>
        <v>0.041</v>
      </c>
      <c r="I319" s="1" t="n">
        <f aca="false">D319-E319</f>
        <v>0.0018</v>
      </c>
      <c r="K319" s="1" t="n">
        <f aca="false">(1-Analysis!$C$21)*B319 + Analysis!$C$21*C319</f>
        <v>0.0126290614818631</v>
      </c>
      <c r="L319" s="2" t="n">
        <f aca="false">1+K319</f>
        <v>1.01262906148186</v>
      </c>
      <c r="N319" s="1" t="n">
        <f aca="false">Analysis!$C$35*G319+Analysis!$C$36*I319</f>
        <v>0.0178628162292519</v>
      </c>
      <c r="O319" s="1" t="n">
        <f aca="false">B319+Analysis!$C$42*N319</f>
        <v>0.0118393111909122</v>
      </c>
      <c r="P319" s="2" t="n">
        <f aca="false">1+O319</f>
        <v>1.01183931119091</v>
      </c>
    </row>
    <row r="320" customFormat="false" ht="15" hidden="false" customHeight="false" outlineLevel="0" collapsed="false">
      <c r="A320" s="6" t="n">
        <v>35612</v>
      </c>
      <c r="B320" s="1" t="n">
        <v>0.0043</v>
      </c>
      <c r="C320" s="1" t="n">
        <v>0.0774</v>
      </c>
      <c r="D320" s="1" t="n">
        <v>0.0712</v>
      </c>
      <c r="E320" s="1" t="n">
        <v>0.076</v>
      </c>
      <c r="G320" s="1" t="n">
        <f aca="false">C320-$B320</f>
        <v>0.0731</v>
      </c>
      <c r="I320" s="1" t="n">
        <f aca="false">D320-E320</f>
        <v>-0.0048</v>
      </c>
      <c r="K320" s="1" t="n">
        <f aca="false">(1-Analysis!$C$21)*B320 + Analysis!$C$21*C320</f>
        <v>0.0202198632761997</v>
      </c>
      <c r="L320" s="2" t="n">
        <f aca="false">1+K320</f>
        <v>1.0202198632762</v>
      </c>
      <c r="N320" s="1" t="n">
        <f aca="false">Analysis!$C$35*G320+Analysis!$C$36*I320</f>
        <v>0.0271207495984369</v>
      </c>
      <c r="O320" s="1" t="n">
        <f aca="false">B320+Analysis!$C$42*N320</f>
        <v>0.0166577501934436</v>
      </c>
      <c r="P320" s="2" t="n">
        <f aca="false">1+O320</f>
        <v>1.01665775019344</v>
      </c>
    </row>
    <row r="321" customFormat="false" ht="15" hidden="false" customHeight="false" outlineLevel="0" collapsed="false">
      <c r="A321" s="6" t="n">
        <v>35643</v>
      </c>
      <c r="B321" s="1" t="n">
        <v>0.0041</v>
      </c>
      <c r="C321" s="1" t="n">
        <v>-0.0369</v>
      </c>
      <c r="D321" s="1" t="n">
        <v>-0.0084</v>
      </c>
      <c r="E321" s="1" t="n">
        <v>-0.0488</v>
      </c>
      <c r="G321" s="1" t="n">
        <f aca="false">C321-$B321</f>
        <v>-0.041</v>
      </c>
      <c r="I321" s="1" t="n">
        <f aca="false">D321-E321</f>
        <v>0.0404</v>
      </c>
      <c r="K321" s="1" t="n">
        <f aca="false">(1-Analysis!$C$21)*B321 + Analysis!$C$21*C321</f>
        <v>-0.00482906148186306</v>
      </c>
      <c r="L321" s="2" t="n">
        <f aca="false">1+K321</f>
        <v>0.995170938518137</v>
      </c>
      <c r="N321" s="1" t="n">
        <f aca="false">Analysis!$C$35*G321+Analysis!$C$36*I321</f>
        <v>0.00704507038109422</v>
      </c>
      <c r="O321" s="1" t="n">
        <f aca="false">B321+Analysis!$C$42*N321</f>
        <v>0.007310133243139</v>
      </c>
      <c r="P321" s="2" t="n">
        <f aca="false">1+O321</f>
        <v>1.00731013324314</v>
      </c>
    </row>
    <row r="322" customFormat="false" ht="15" hidden="false" customHeight="false" outlineLevel="0" collapsed="false">
      <c r="A322" s="6" t="n">
        <v>35674</v>
      </c>
      <c r="B322" s="1" t="n">
        <v>0.0044</v>
      </c>
      <c r="C322" s="1" t="n">
        <v>0.0578</v>
      </c>
      <c r="D322" s="1" t="n">
        <v>0.067</v>
      </c>
      <c r="E322" s="1" t="n">
        <v>0.0527</v>
      </c>
      <c r="G322" s="1" t="n">
        <f aca="false">C322-$B322</f>
        <v>0.0534</v>
      </c>
      <c r="I322" s="1" t="n">
        <f aca="false">D322-E322</f>
        <v>0.0143</v>
      </c>
      <c r="K322" s="1" t="n">
        <f aca="false">(1-Analysis!$C$21)*B322 + Analysis!$C$21*C322</f>
        <v>0.0160295581251582</v>
      </c>
      <c r="L322" s="2" t="n">
        <f aca="false">1+K322</f>
        <v>1.01602955812516</v>
      </c>
      <c r="N322" s="1" t="n">
        <f aca="false">Analysis!$C$35*G322+Analysis!$C$36*I322</f>
        <v>0.0303218396572385</v>
      </c>
      <c r="O322" s="1" t="n">
        <f aca="false">B322+Analysis!$C$42*N322</f>
        <v>0.0182163481997342</v>
      </c>
      <c r="P322" s="2" t="n">
        <f aca="false">1+O322</f>
        <v>1.01821634819973</v>
      </c>
    </row>
    <row r="323" customFormat="false" ht="15" hidden="false" customHeight="false" outlineLevel="0" collapsed="false">
      <c r="A323" s="6" t="n">
        <v>35704</v>
      </c>
      <c r="B323" s="1" t="n">
        <v>0.0042</v>
      </c>
      <c r="C323" s="1" t="n">
        <v>-0.0338</v>
      </c>
      <c r="D323" s="1" t="n">
        <v>-0.0294</v>
      </c>
      <c r="E323" s="1" t="n">
        <v>-0.0348</v>
      </c>
      <c r="G323" s="1" t="n">
        <f aca="false">C323-$B323</f>
        <v>-0.038</v>
      </c>
      <c r="I323" s="1" t="n">
        <f aca="false">D323-E323</f>
        <v>0.0054</v>
      </c>
      <c r="K323" s="1" t="n">
        <f aca="false">(1-Analysis!$C$21)*B323 + Analysis!$C$21*C323</f>
        <v>-0.00407571551977552</v>
      </c>
      <c r="L323" s="2" t="n">
        <f aca="false">1+K323</f>
        <v>0.995924284480225</v>
      </c>
      <c r="N323" s="1" t="n">
        <f aca="false">Analysis!$C$35*G323+Analysis!$C$36*I323</f>
        <v>-0.0123838322538146</v>
      </c>
      <c r="O323" s="1" t="n">
        <f aca="false">B323+Analysis!$C$42*N323</f>
        <v>-0.00144277564949648</v>
      </c>
      <c r="P323" s="2" t="n">
        <f aca="false">1+O323</f>
        <v>0.998557224350504</v>
      </c>
    </row>
    <row r="324" customFormat="false" ht="15" hidden="false" customHeight="false" outlineLevel="0" collapsed="false">
      <c r="A324" s="6" t="n">
        <v>35735</v>
      </c>
      <c r="B324" s="1" t="n">
        <v>0.0039</v>
      </c>
      <c r="C324" s="1" t="n">
        <v>0.0338</v>
      </c>
      <c r="D324" s="1" t="n">
        <v>0.0282</v>
      </c>
      <c r="E324" s="1" t="n">
        <v>0.0451</v>
      </c>
      <c r="G324" s="1" t="n">
        <f aca="false">C324-$B324</f>
        <v>0.0299</v>
      </c>
      <c r="I324" s="1" t="n">
        <f aca="false">D324-E324</f>
        <v>-0.0169</v>
      </c>
      <c r="K324" s="1" t="n">
        <f aca="false">(1-Analysis!$C$21)*B324 + Analysis!$C$21*C324</f>
        <v>0.0104116814221392</v>
      </c>
      <c r="L324" s="2" t="n">
        <f aca="false">1+K324</f>
        <v>1.01041168142214</v>
      </c>
      <c r="N324" s="1" t="n">
        <f aca="false">Analysis!$C$35*G324+Analysis!$C$36*I324</f>
        <v>0.00227703570227016</v>
      </c>
      <c r="O324" s="1" t="n">
        <f aca="false">B324+Analysis!$C$42*N324</f>
        <v>0.00493754648403335</v>
      </c>
      <c r="P324" s="2" t="n">
        <f aca="false">1+O324</f>
        <v>1.00493754648403</v>
      </c>
    </row>
    <row r="325" customFormat="false" ht="15" hidden="false" customHeight="false" outlineLevel="0" collapsed="false">
      <c r="A325" s="6" t="n">
        <v>35765</v>
      </c>
      <c r="B325" s="1" t="n">
        <v>0.0048</v>
      </c>
      <c r="C325" s="1" t="n">
        <v>0.0181</v>
      </c>
      <c r="D325" s="1" t="n">
        <v>0.0369</v>
      </c>
      <c r="E325" s="1" t="n">
        <v>0.0114</v>
      </c>
      <c r="G325" s="1" t="n">
        <f aca="false">C325-$B325</f>
        <v>0.0133</v>
      </c>
      <c r="I325" s="1" t="n">
        <f aca="false">D325-E325</f>
        <v>0.0255</v>
      </c>
      <c r="K325" s="1" t="n">
        <f aca="false">(1-Analysis!$C$21)*B325 + Analysis!$C$21*C325</f>
        <v>0.00769650043192143</v>
      </c>
      <c r="L325" s="2" t="n">
        <f aca="false">1+K325</f>
        <v>1.00769650043192</v>
      </c>
      <c r="N325" s="1" t="n">
        <f aca="false">Analysis!$C$35*G325+Analysis!$C$36*I325</f>
        <v>0.0205008582143655</v>
      </c>
      <c r="O325" s="1" t="n">
        <f aca="false">B325+Analysis!$C$42*N325</f>
        <v>0.014141352592221</v>
      </c>
      <c r="P325" s="2" t="n">
        <f aca="false">1+O325</f>
        <v>1.01414135259222</v>
      </c>
    </row>
    <row r="326" customFormat="false" ht="15" hidden="false" customHeight="false" outlineLevel="0" collapsed="false">
      <c r="A326" s="6" t="n">
        <v>35796</v>
      </c>
      <c r="B326" s="1" t="n">
        <v>0.0043</v>
      </c>
      <c r="C326" s="1" t="n">
        <v>0.0058</v>
      </c>
      <c r="D326" s="1" t="n">
        <v>-0.0062</v>
      </c>
      <c r="E326" s="1" t="n">
        <v>0.0227</v>
      </c>
      <c r="G326" s="1" t="n">
        <f aca="false">C326-$B326</f>
        <v>0.0015</v>
      </c>
      <c r="I326" s="1" t="n">
        <f aca="false">D326-E326</f>
        <v>-0.0289</v>
      </c>
      <c r="K326" s="1" t="n">
        <f aca="false">(1-Analysis!$C$21)*B326 + Analysis!$C$21*C326</f>
        <v>0.00462667298104377</v>
      </c>
      <c r="L326" s="2" t="n">
        <f aca="false">1+K326</f>
        <v>1.00462667298104</v>
      </c>
      <c r="N326" s="1" t="n">
        <f aca="false">Analysis!$C$35*G326+Analysis!$C$36*I326</f>
        <v>-0.0164431221079271</v>
      </c>
      <c r="O326" s="1" t="n">
        <f aca="false">B326+Analysis!$C$42*N326</f>
        <v>-0.00319241810859699</v>
      </c>
      <c r="P326" s="2" t="n">
        <f aca="false">1+O326</f>
        <v>0.996807581891403</v>
      </c>
    </row>
    <row r="327" customFormat="false" ht="15" hidden="false" customHeight="false" outlineLevel="0" collapsed="false">
      <c r="A327" s="6" t="n">
        <v>35827</v>
      </c>
      <c r="B327" s="1" t="n">
        <v>0.0039</v>
      </c>
      <c r="C327" s="1" t="n">
        <v>0.0742</v>
      </c>
      <c r="D327" s="1" t="n">
        <v>0.0687</v>
      </c>
      <c r="E327" s="1" t="n">
        <v>0.0711</v>
      </c>
      <c r="G327" s="1" t="n">
        <f aca="false">C327-$B327</f>
        <v>0.0703</v>
      </c>
      <c r="I327" s="1" t="n">
        <f aca="false">D327-E327</f>
        <v>-0.0024</v>
      </c>
      <c r="K327" s="1" t="n">
        <f aca="false">(1-Analysis!$C$21)*B327 + Analysis!$C$21*C327</f>
        <v>0.0192100737115847</v>
      </c>
      <c r="L327" s="2" t="n">
        <f aca="false">1+K327</f>
        <v>1.01921007371158</v>
      </c>
      <c r="N327" s="1" t="n">
        <f aca="false">Analysis!$C$35*G327+Analysis!$C$36*I327</f>
        <v>0.0273899678537402</v>
      </c>
      <c r="O327" s="1" t="n">
        <f aca="false">B327+Analysis!$C$42*N327</f>
        <v>0.0163804212846123</v>
      </c>
      <c r="P327" s="2" t="n">
        <f aca="false">1+O327</f>
        <v>1.01638042128461</v>
      </c>
    </row>
    <row r="328" customFormat="false" ht="15" hidden="false" customHeight="false" outlineLevel="0" collapsed="false">
      <c r="A328" s="6" t="n">
        <v>35855</v>
      </c>
      <c r="B328" s="1" t="n">
        <v>0.0039</v>
      </c>
      <c r="C328" s="1" t="n">
        <v>0.0515</v>
      </c>
      <c r="D328" s="1" t="n">
        <v>0.0651</v>
      </c>
      <c r="E328" s="1" t="n">
        <v>0.0482</v>
      </c>
      <c r="G328" s="1" t="n">
        <f aca="false">C328-$B328</f>
        <v>0.0476</v>
      </c>
      <c r="I328" s="1" t="n">
        <f aca="false">D328-E328</f>
        <v>0.0169</v>
      </c>
      <c r="K328" s="1" t="n">
        <f aca="false">(1-Analysis!$C$21)*B328 + Analysis!$C$21*C328</f>
        <v>0.0142664225984556</v>
      </c>
      <c r="L328" s="2" t="n">
        <f aca="false">1+K328</f>
        <v>1.01426642259846</v>
      </c>
      <c r="N328" s="1" t="n">
        <f aca="false">Analysis!$C$35*G328+Analysis!$C$36*I328</f>
        <v>0.0294798076081131</v>
      </c>
      <c r="O328" s="1" t="n">
        <f aca="false">B328+Analysis!$C$42*N328</f>
        <v>0.0173326706881596</v>
      </c>
      <c r="P328" s="2" t="n">
        <f aca="false">1+O328</f>
        <v>1.01733267068816</v>
      </c>
    </row>
    <row r="329" customFormat="false" ht="15" hidden="false" customHeight="false" outlineLevel="0" collapsed="false">
      <c r="A329" s="6" t="n">
        <v>35886</v>
      </c>
      <c r="B329" s="1" t="n">
        <v>0.0043</v>
      </c>
      <c r="C329" s="1" t="n">
        <v>0.0117</v>
      </c>
      <c r="D329" s="1" t="n">
        <v>0.0169</v>
      </c>
      <c r="E329" s="1" t="n">
        <v>0.0091</v>
      </c>
      <c r="G329" s="1" t="n">
        <f aca="false">C329-$B329</f>
        <v>0.0074</v>
      </c>
      <c r="I329" s="1" t="n">
        <f aca="false">D329-E329</f>
        <v>0.0078</v>
      </c>
      <c r="K329" s="1" t="n">
        <f aca="false">(1-Analysis!$C$21)*B329 + Analysis!$C$21*C329</f>
        <v>0.0059115867064826</v>
      </c>
      <c r="L329" s="2" t="n">
        <f aca="false">1+K329</f>
        <v>1.00591158670648</v>
      </c>
      <c r="N329" s="1" t="n">
        <f aca="false">Analysis!$C$35*G329+Analysis!$C$36*I329</f>
        <v>0.00763609371194641</v>
      </c>
      <c r="O329" s="1" t="n">
        <f aca="false">B329+Analysis!$C$42*N329</f>
        <v>0.00777943696037805</v>
      </c>
      <c r="P329" s="2" t="n">
        <f aca="false">1+O329</f>
        <v>1.00777943696038</v>
      </c>
    </row>
    <row r="330" customFormat="false" ht="15" hidden="false" customHeight="false" outlineLevel="0" collapsed="false">
      <c r="A330" s="6" t="n">
        <v>35916</v>
      </c>
      <c r="B330" s="1" t="n">
        <v>0.004</v>
      </c>
      <c r="C330" s="1" t="n">
        <v>-0.0267</v>
      </c>
      <c r="D330" s="1" t="n">
        <v>-0.01</v>
      </c>
      <c r="E330" s="1" t="n">
        <v>-0.0245</v>
      </c>
      <c r="G330" s="1" t="n">
        <f aca="false">C330-$B330</f>
        <v>-0.0307</v>
      </c>
      <c r="I330" s="1" t="n">
        <f aca="false">D330-E330</f>
        <v>0.0145</v>
      </c>
      <c r="K330" s="1" t="n">
        <f aca="false">(1-Analysis!$C$21)*B330 + Analysis!$C$21*C330</f>
        <v>-0.00268590701202917</v>
      </c>
      <c r="L330" s="2" t="n">
        <f aca="false">1+K330</f>
        <v>0.997314092987971</v>
      </c>
      <c r="N330" s="1" t="n">
        <f aca="false">Analysis!$C$35*G330+Analysis!$C$36*I330</f>
        <v>-0.00402141055005579</v>
      </c>
      <c r="O330" s="1" t="n">
        <f aca="false">B330+Analysis!$C$42*N330</f>
        <v>0.00216761749808964</v>
      </c>
      <c r="P330" s="2" t="n">
        <f aca="false">1+O330</f>
        <v>1.00216761749809</v>
      </c>
    </row>
    <row r="331" customFormat="false" ht="15" hidden="false" customHeight="false" outlineLevel="0" collapsed="false">
      <c r="A331" s="6" t="n">
        <v>35947</v>
      </c>
      <c r="B331" s="1" t="n">
        <v>0.0041</v>
      </c>
      <c r="C331" s="1" t="n">
        <v>0.036</v>
      </c>
      <c r="D331" s="1" t="n">
        <v>0.0166</v>
      </c>
      <c r="E331" s="1" t="n">
        <v>0.053</v>
      </c>
      <c r="G331" s="1" t="n">
        <f aca="false">C331-$B331</f>
        <v>0.0319</v>
      </c>
      <c r="I331" s="1" t="n">
        <f aca="false">D331-E331</f>
        <v>-0.0364</v>
      </c>
      <c r="K331" s="1" t="n">
        <f aca="false">(1-Analysis!$C$21)*B331 + Analysis!$C$21*C331</f>
        <v>0.0110472453968642</v>
      </c>
      <c r="L331" s="2" t="n">
        <f aca="false">1+K331</f>
        <v>1.01104724539686</v>
      </c>
      <c r="N331" s="1" t="n">
        <f aca="false">Analysis!$C$35*G331+Analysis!$C$36*I331</f>
        <v>-0.00841300131484933</v>
      </c>
      <c r="O331" s="1" t="n">
        <f aca="false">B331+Analysis!$C$42*N331</f>
        <v>0.00026655991573283</v>
      </c>
      <c r="P331" s="2" t="n">
        <f aca="false">1+O331</f>
        <v>1.00026655991573</v>
      </c>
    </row>
    <row r="332" customFormat="false" ht="15" hidden="false" customHeight="false" outlineLevel="0" collapsed="false">
      <c r="A332" s="6" t="n">
        <v>35977</v>
      </c>
      <c r="B332" s="1" t="n">
        <v>0.004</v>
      </c>
      <c r="C332" s="1" t="n">
        <v>-0.0202</v>
      </c>
      <c r="D332" s="1" t="n">
        <v>-0.0539</v>
      </c>
      <c r="E332" s="1" t="n">
        <v>-0.0115</v>
      </c>
      <c r="G332" s="1" t="n">
        <f aca="false">C332-$B332</f>
        <v>-0.0242</v>
      </c>
      <c r="I332" s="1" t="n">
        <f aca="false">D332-E332</f>
        <v>-0.0424</v>
      </c>
      <c r="K332" s="1" t="n">
        <f aca="false">(1-Analysis!$C$21)*B332 + Analysis!$C$21*C332</f>
        <v>-0.00127032409417283</v>
      </c>
      <c r="L332" s="2" t="n">
        <f aca="false">1+K332</f>
        <v>0.998729675905827</v>
      </c>
      <c r="N332" s="1" t="n">
        <f aca="false">Analysis!$C$35*G332+Analysis!$C$36*I332</f>
        <v>-0.0349422638935616</v>
      </c>
      <c r="O332" s="1" t="n">
        <f aca="false">B332+Analysis!$C$42*N332</f>
        <v>-0.0119216752775486</v>
      </c>
      <c r="P332" s="2" t="n">
        <f aca="false">1+O332</f>
        <v>0.988078324722451</v>
      </c>
    </row>
    <row r="333" customFormat="false" ht="15" hidden="false" customHeight="false" outlineLevel="0" collapsed="false">
      <c r="A333" s="6" t="n">
        <v>36008</v>
      </c>
      <c r="B333" s="1" t="n">
        <v>0.0043</v>
      </c>
      <c r="C333" s="1" t="n">
        <v>-0.1562</v>
      </c>
      <c r="D333" s="1" t="n">
        <v>-0.1358</v>
      </c>
      <c r="E333" s="1" t="n">
        <v>-0.1414</v>
      </c>
      <c r="G333" s="1" t="n">
        <f aca="false">C333-$B333</f>
        <v>-0.1605</v>
      </c>
      <c r="I333" s="1" t="n">
        <f aca="false">D333-E333</f>
        <v>0.00559999999999999</v>
      </c>
      <c r="K333" s="1" t="n">
        <f aca="false">(1-Analysis!$C$21)*B333 + Analysis!$C$21*C333</f>
        <v>-0.0306540089716834</v>
      </c>
      <c r="L333" s="2" t="n">
        <f aca="false">1+K333</f>
        <v>0.969345991028317</v>
      </c>
      <c r="N333" s="1" t="n">
        <f aca="false">Analysis!$C$35*G333+Analysis!$C$36*I333</f>
        <v>-0.0624620861142537</v>
      </c>
      <c r="O333" s="1" t="n">
        <f aca="false">B333+Analysis!$C$42*N333</f>
        <v>-0.0241612655693631</v>
      </c>
      <c r="P333" s="2" t="n">
        <f aca="false">1+O333</f>
        <v>0.975838734430637</v>
      </c>
    </row>
    <row r="334" customFormat="false" ht="15" hidden="false" customHeight="false" outlineLevel="0" collapsed="false">
      <c r="A334" s="6" t="n">
        <v>36039</v>
      </c>
      <c r="B334" s="1" t="n">
        <v>0.0046</v>
      </c>
      <c r="C334" s="1" t="n">
        <v>0.0665</v>
      </c>
      <c r="D334" s="1" t="n">
        <v>0.0586</v>
      </c>
      <c r="E334" s="1" t="n">
        <v>0.0793</v>
      </c>
      <c r="G334" s="1" t="n">
        <f aca="false">C334-$B334</f>
        <v>0.0619</v>
      </c>
      <c r="I334" s="1" t="n">
        <f aca="false">D334-E334</f>
        <v>-0.0207</v>
      </c>
      <c r="K334" s="1" t="n">
        <f aca="false">(1-Analysis!$C$21)*B334 + Analysis!$C$21*C334</f>
        <v>0.0180807050177396</v>
      </c>
      <c r="L334" s="2" t="n">
        <f aca="false">1+K334</f>
        <v>1.01808070501774</v>
      </c>
      <c r="N334" s="1" t="n">
        <f aca="false">Analysis!$C$35*G334+Analysis!$C$36*I334</f>
        <v>0.0131466484830666</v>
      </c>
      <c r="O334" s="1" t="n">
        <f aca="false">B334+Analysis!$C$42*N334</f>
        <v>0.0105903579451253</v>
      </c>
      <c r="P334" s="2" t="n">
        <f aca="false">1+O334</f>
        <v>1.01059035794513</v>
      </c>
    </row>
    <row r="335" customFormat="false" ht="15" hidden="false" customHeight="false" outlineLevel="0" collapsed="false">
      <c r="A335" s="6" t="n">
        <v>36069</v>
      </c>
      <c r="B335" s="1" t="n">
        <v>0.0032</v>
      </c>
      <c r="C335" s="1" t="n">
        <v>0.073</v>
      </c>
      <c r="D335" s="1" t="n">
        <v>0.0432</v>
      </c>
      <c r="E335" s="1" t="n">
        <v>0.0788</v>
      </c>
      <c r="G335" s="1" t="n">
        <f aca="false">C335-$B335</f>
        <v>0.0698</v>
      </c>
      <c r="I335" s="1" t="n">
        <f aca="false">D335-E335</f>
        <v>-0.0356</v>
      </c>
      <c r="K335" s="1" t="n">
        <f aca="false">(1-Analysis!$C$21)*B335 + Analysis!$C$21*C335</f>
        <v>0.0184011827179035</v>
      </c>
      <c r="L335" s="2" t="n">
        <f aca="false">1+K335</f>
        <v>1.0184011827179</v>
      </c>
      <c r="N335" s="1" t="n">
        <f aca="false">Analysis!$C$35*G335+Analysis!$C$36*I335</f>
        <v>0.00758930690212126</v>
      </c>
      <c r="O335" s="1" t="n">
        <f aca="false">B335+Analysis!$C$42*N335</f>
        <v>0.00665811823885566</v>
      </c>
      <c r="P335" s="2" t="n">
        <f aca="false">1+O335</f>
        <v>1.00665811823886</v>
      </c>
    </row>
    <row r="336" customFormat="false" ht="15" hidden="false" customHeight="false" outlineLevel="0" collapsed="false">
      <c r="A336" s="6" t="n">
        <v>36100</v>
      </c>
      <c r="B336" s="1" t="n">
        <v>0.0031</v>
      </c>
      <c r="C336" s="1" t="n">
        <v>0.0638</v>
      </c>
      <c r="D336" s="1" t="n">
        <v>0.0435</v>
      </c>
      <c r="E336" s="1" t="n">
        <v>0.0707</v>
      </c>
      <c r="G336" s="1" t="n">
        <f aca="false">C336-$B336</f>
        <v>0.0607</v>
      </c>
      <c r="I336" s="1" t="n">
        <f aca="false">D336-E336</f>
        <v>-0.0272</v>
      </c>
      <c r="K336" s="1" t="n">
        <f aca="false">(1-Analysis!$C$21)*B336 + Analysis!$C$21*C336</f>
        <v>0.0163193666329046</v>
      </c>
      <c r="L336" s="2" t="n">
        <f aca="false">1+K336</f>
        <v>1.0163193666329</v>
      </c>
      <c r="N336" s="1" t="n">
        <f aca="false">Analysis!$C$35*G336+Analysis!$C$36*I336</f>
        <v>0.00881840679977664</v>
      </c>
      <c r="O336" s="1" t="n">
        <f aca="false">B336+Analysis!$C$42*N336</f>
        <v>0.00711816579369492</v>
      </c>
      <c r="P336" s="2" t="n">
        <f aca="false">1+O336</f>
        <v>1.0071181657937</v>
      </c>
    </row>
    <row r="337" customFormat="false" ht="15" hidden="false" customHeight="false" outlineLevel="0" collapsed="false">
      <c r="A337" s="6" t="n">
        <v>36130</v>
      </c>
      <c r="B337" s="1" t="n">
        <v>0.0038</v>
      </c>
      <c r="C337" s="1" t="n">
        <v>0.0653</v>
      </c>
      <c r="D337" s="1" t="n">
        <v>0.0356</v>
      </c>
      <c r="E337" s="1" t="n">
        <v>0.0816</v>
      </c>
      <c r="G337" s="1" t="n">
        <f aca="false">C337-$B337</f>
        <v>0.0615</v>
      </c>
      <c r="I337" s="1" t="n">
        <f aca="false">D337-E337</f>
        <v>-0.046</v>
      </c>
      <c r="K337" s="1" t="n">
        <f aca="false">(1-Analysis!$C$21)*B337 + Analysis!$C$21*C337</f>
        <v>0.0171935922227946</v>
      </c>
      <c r="L337" s="2" t="n">
        <f aca="false">1+K337</f>
        <v>1.01719359222279</v>
      </c>
      <c r="N337" s="1" t="n">
        <f aca="false">Analysis!$C$35*G337+Analysis!$C$36*I337</f>
        <v>-0.0019501850855974</v>
      </c>
      <c r="O337" s="1" t="n">
        <f aca="false">B337+Analysis!$C$42*N337</f>
        <v>0.00291138517645614</v>
      </c>
      <c r="P337" s="2" t="n">
        <f aca="false">1+O337</f>
        <v>1.00291138517646</v>
      </c>
    </row>
    <row r="338" customFormat="false" ht="15" hidden="false" customHeight="false" outlineLevel="0" collapsed="false">
      <c r="A338" s="6" t="n">
        <v>36161</v>
      </c>
      <c r="B338" s="1" t="n">
        <v>0.0035</v>
      </c>
      <c r="C338" s="1" t="n">
        <v>0.0383</v>
      </c>
      <c r="D338" s="1" t="n">
        <v>-0.009</v>
      </c>
      <c r="E338" s="1" t="n">
        <v>0.0491</v>
      </c>
      <c r="G338" s="1" t="n">
        <f aca="false">C338-$B338</f>
        <v>0.0348</v>
      </c>
      <c r="I338" s="1" t="n">
        <f aca="false">D338-E338</f>
        <v>-0.0581</v>
      </c>
      <c r="K338" s="1" t="n">
        <f aca="false">(1-Analysis!$C$21)*B338 + Analysis!$C$21*C338</f>
        <v>0.0110788131602155</v>
      </c>
      <c r="L338" s="2" t="n">
        <f aca="false">1+K338</f>
        <v>1.01107881316022</v>
      </c>
      <c r="N338" s="1" t="n">
        <f aca="false">Analysis!$C$35*G338+Analysis!$C$36*I338</f>
        <v>-0.0200327645995535</v>
      </c>
      <c r="O338" s="1" t="n">
        <f aca="false">B338+Analysis!$C$42*N338</f>
        <v>-0.00562806261887432</v>
      </c>
      <c r="P338" s="2" t="n">
        <f aca="false">1+O338</f>
        <v>0.994371937381126</v>
      </c>
    </row>
    <row r="339" customFormat="false" ht="15" hidden="false" customHeight="false" outlineLevel="0" collapsed="false">
      <c r="A339" s="6" t="n">
        <v>36192</v>
      </c>
      <c r="B339" s="1" t="n">
        <v>0.0035</v>
      </c>
      <c r="C339" s="1" t="n">
        <v>-0.0373</v>
      </c>
      <c r="D339" s="1" t="n">
        <v>-0.0263</v>
      </c>
      <c r="E339" s="1" t="n">
        <v>-0.0467</v>
      </c>
      <c r="G339" s="1" t="n">
        <f aca="false">C339-$B339</f>
        <v>-0.0408</v>
      </c>
      <c r="I339" s="1" t="n">
        <f aca="false">D339-E339</f>
        <v>0.0204</v>
      </c>
      <c r="K339" s="1" t="n">
        <f aca="false">(1-Analysis!$C$21)*B339 + Analysis!$C$21*C339</f>
        <v>-0.00538550508439056</v>
      </c>
      <c r="L339" s="2" t="n">
        <f aca="false">1+K339</f>
        <v>0.99461449491561</v>
      </c>
      <c r="N339" s="1" t="n">
        <f aca="false">Analysis!$C$35*G339+Analysis!$C$36*I339</f>
        <v>-0.00467766207219944</v>
      </c>
      <c r="O339" s="1" t="n">
        <f aca="false">B339+Analysis!$C$42*N339</f>
        <v>0.00136859212103348</v>
      </c>
      <c r="P339" s="2" t="n">
        <f aca="false">1+O339</f>
        <v>1.00136859212103</v>
      </c>
    </row>
    <row r="340" customFormat="false" ht="15" hidden="false" customHeight="false" outlineLevel="0" collapsed="false">
      <c r="A340" s="6" t="n">
        <v>36220</v>
      </c>
      <c r="B340" s="1" t="n">
        <v>0.0043</v>
      </c>
      <c r="C340" s="1" t="n">
        <v>0.0391</v>
      </c>
      <c r="D340" s="1" t="n">
        <v>0.0036</v>
      </c>
      <c r="E340" s="1" t="n">
        <v>0.0385</v>
      </c>
      <c r="G340" s="1" t="n">
        <f aca="false">C340-$B340</f>
        <v>0.0348</v>
      </c>
      <c r="I340" s="1" t="n">
        <f aca="false">D340-E340</f>
        <v>-0.0349</v>
      </c>
      <c r="K340" s="1" t="n">
        <f aca="false">(1-Analysis!$C$21)*B340 + Analysis!$C$21*C340</f>
        <v>0.0118788131602155</v>
      </c>
      <c r="L340" s="2" t="n">
        <f aca="false">1+K340</f>
        <v>1.01187881316022</v>
      </c>
      <c r="N340" s="1" t="n">
        <f aca="false">Analysis!$C$35*G340+Analysis!$C$36*I340</f>
        <v>-0.00633932930666175</v>
      </c>
      <c r="O340" s="1" t="n">
        <f aca="false">B340+Analysis!$C$42*N340</f>
        <v>0.00141144237804484</v>
      </c>
      <c r="P340" s="2" t="n">
        <f aca="false">1+O340</f>
        <v>1.00141144237805</v>
      </c>
    </row>
    <row r="341" customFormat="false" ht="15" hidden="false" customHeight="false" outlineLevel="0" collapsed="false">
      <c r="A341" s="6" t="n">
        <v>36251</v>
      </c>
      <c r="B341" s="1" t="n">
        <v>0.0037</v>
      </c>
      <c r="C341" s="1" t="n">
        <v>0.0471</v>
      </c>
      <c r="D341" s="1" t="n">
        <v>0.0747</v>
      </c>
      <c r="E341" s="1" t="n">
        <v>0.025</v>
      </c>
      <c r="G341" s="1" t="n">
        <f aca="false">C341-$B341</f>
        <v>0.0434</v>
      </c>
      <c r="I341" s="1" t="n">
        <f aca="false">D341-E341</f>
        <v>0.0497</v>
      </c>
      <c r="K341" s="1" t="n">
        <f aca="false">(1-Analysis!$C$21)*B341 + Analysis!$C$21*C341</f>
        <v>0.0131517382515331</v>
      </c>
      <c r="L341" s="2" t="n">
        <f aca="false">1+K341</f>
        <v>1.01315173825153</v>
      </c>
      <c r="N341" s="1" t="n">
        <f aca="false">Analysis!$C$35*G341+Analysis!$C$36*I341</f>
        <v>0.0471184759631559</v>
      </c>
      <c r="O341" s="1" t="n">
        <f aca="false">B341+Analysis!$C$42*N341</f>
        <v>0.025169847407242</v>
      </c>
      <c r="P341" s="2" t="n">
        <f aca="false">1+O341</f>
        <v>1.02516984740724</v>
      </c>
    </row>
    <row r="342" customFormat="false" ht="15" hidden="false" customHeight="false" outlineLevel="0" collapsed="false">
      <c r="A342" s="6" t="n">
        <v>36281</v>
      </c>
      <c r="B342" s="1" t="n">
        <v>0.0034</v>
      </c>
      <c r="C342" s="1" t="n">
        <v>-0.0212</v>
      </c>
      <c r="D342" s="1" t="n">
        <v>0.0097</v>
      </c>
      <c r="E342" s="1" t="n">
        <v>-0.0242</v>
      </c>
      <c r="G342" s="1" t="n">
        <f aca="false">C342-$B342</f>
        <v>-0.0246</v>
      </c>
      <c r="I342" s="1" t="n">
        <f aca="false">D342-E342</f>
        <v>0.0339</v>
      </c>
      <c r="K342" s="1" t="n">
        <f aca="false">(1-Analysis!$C$21)*B342 + Analysis!$C$21*C342</f>
        <v>-0.00195743688911784</v>
      </c>
      <c r="L342" s="2" t="n">
        <f aca="false">1+K342</f>
        <v>0.998042563110882</v>
      </c>
      <c r="N342" s="1" t="n">
        <f aca="false">Analysis!$C$35*G342+Analysis!$C$36*I342</f>
        <v>0.0099287053721623</v>
      </c>
      <c r="O342" s="1" t="n">
        <f aca="false">B342+Analysis!$C$42*N342</f>
        <v>0.00792408073339371</v>
      </c>
      <c r="P342" s="2" t="n">
        <f aca="false">1+O342</f>
        <v>1.00792408073339</v>
      </c>
    </row>
    <row r="343" customFormat="false" ht="15" hidden="false" customHeight="false" outlineLevel="0" collapsed="false">
      <c r="A343" s="6" t="n">
        <v>36312</v>
      </c>
      <c r="B343" s="1" t="n">
        <v>0.004</v>
      </c>
      <c r="C343" s="1" t="n">
        <v>0.0517</v>
      </c>
      <c r="D343" s="1" t="n">
        <v>0.0147</v>
      </c>
      <c r="E343" s="1" t="n">
        <v>0.0651</v>
      </c>
      <c r="G343" s="1" t="n">
        <f aca="false">C343-$B343</f>
        <v>0.0477</v>
      </c>
      <c r="I343" s="1" t="n">
        <f aca="false">D343-E343</f>
        <v>-0.0504</v>
      </c>
      <c r="K343" s="1" t="n">
        <f aca="false">(1-Analysis!$C$21)*B343 + Analysis!$C$21*C343</f>
        <v>0.0143882007971919</v>
      </c>
      <c r="L343" s="2" t="n">
        <f aca="false">1+K343</f>
        <v>1.01438820079719</v>
      </c>
      <c r="N343" s="1" t="n">
        <f aca="false">Analysis!$C$35*G343+Analysis!$C$36*I343</f>
        <v>-0.0102019828548568</v>
      </c>
      <c r="O343" s="1" t="n">
        <f aca="false">B343+Analysis!$C$42*N343</f>
        <v>-0.000648601438559839</v>
      </c>
      <c r="P343" s="2" t="n">
        <f aca="false">1+O343</f>
        <v>0.99935139856144</v>
      </c>
    </row>
    <row r="344" customFormat="false" ht="15" hidden="false" customHeight="false" outlineLevel="0" collapsed="false">
      <c r="A344" s="6" t="n">
        <v>36342</v>
      </c>
      <c r="B344" s="1" t="n">
        <v>0.0038</v>
      </c>
      <c r="C344" s="1" t="n">
        <v>-0.0311</v>
      </c>
      <c r="D344" s="1" t="n">
        <v>-0.0238</v>
      </c>
      <c r="E344" s="1" t="n">
        <v>-0.0297</v>
      </c>
      <c r="G344" s="1" t="n">
        <f aca="false">C344-$B344</f>
        <v>-0.0349</v>
      </c>
      <c r="I344" s="1" t="n">
        <f aca="false">D344-E344</f>
        <v>0.0059</v>
      </c>
      <c r="K344" s="1" t="n">
        <f aca="false">(1-Analysis!$C$21)*B344 + Analysis!$C$21*C344</f>
        <v>-0.00380059135895173</v>
      </c>
      <c r="L344" s="2" t="n">
        <f aca="false">1+K344</f>
        <v>0.996199408641048</v>
      </c>
      <c r="N344" s="1" t="n">
        <f aca="false">Analysis!$C$35*G344+Analysis!$C$36*I344</f>
        <v>-0.0108184413814663</v>
      </c>
      <c r="O344" s="1" t="n">
        <f aca="false">B344+Analysis!$C$42*N344</f>
        <v>-0.00112949487215792</v>
      </c>
      <c r="P344" s="2" t="n">
        <f aca="false">1+O344</f>
        <v>0.998870505127842</v>
      </c>
    </row>
    <row r="345" customFormat="false" ht="15" hidden="false" customHeight="false" outlineLevel="0" collapsed="false">
      <c r="A345" s="6" t="n">
        <v>36373</v>
      </c>
      <c r="B345" s="1" t="n">
        <v>0.0039</v>
      </c>
      <c r="C345" s="1" t="n">
        <v>-0.0098</v>
      </c>
      <c r="D345" s="1" t="n">
        <v>-0.0318</v>
      </c>
      <c r="E345" s="1" t="n">
        <v>-0.0003</v>
      </c>
      <c r="G345" s="1" t="n">
        <f aca="false">C345-$B345</f>
        <v>-0.0137</v>
      </c>
      <c r="I345" s="1" t="n">
        <f aca="false">D345-E345</f>
        <v>-0.0315</v>
      </c>
      <c r="K345" s="1" t="n">
        <f aca="false">(1-Analysis!$C$21)*B345 + Analysis!$C$21*C345</f>
        <v>0.000916386773133563</v>
      </c>
      <c r="L345" s="2" t="n">
        <f aca="false">1+K345</f>
        <v>1.00091638677313</v>
      </c>
      <c r="N345" s="1" t="n">
        <f aca="false">Analysis!$C$35*G345+Analysis!$C$36*I345</f>
        <v>-0.0242061701816152</v>
      </c>
      <c r="O345" s="1" t="n">
        <f aca="false">B345+Analysis!$C$42*N345</f>
        <v>-0.00712970266948762</v>
      </c>
      <c r="P345" s="2" t="n">
        <f aca="false">1+O345</f>
        <v>0.992870297330512</v>
      </c>
    </row>
    <row r="346" customFormat="false" ht="15" hidden="false" customHeight="false" outlineLevel="0" collapsed="false">
      <c r="A346" s="6" t="n">
        <v>36404</v>
      </c>
      <c r="B346" s="1" t="n">
        <v>0.0039</v>
      </c>
      <c r="C346" s="1" t="n">
        <v>-0.0238</v>
      </c>
      <c r="D346" s="1" t="n">
        <v>-0.0354</v>
      </c>
      <c r="E346" s="1" t="n">
        <v>-0.018</v>
      </c>
      <c r="G346" s="1" t="n">
        <f aca="false">C346-$B346</f>
        <v>-0.0277</v>
      </c>
      <c r="I346" s="1" t="n">
        <f aca="false">D346-E346</f>
        <v>-0.0174</v>
      </c>
      <c r="K346" s="1" t="n">
        <f aca="false">(1-Analysis!$C$21)*B346 + Analysis!$C$21*C346</f>
        <v>-0.00213256104994163</v>
      </c>
      <c r="L346" s="2" t="n">
        <f aca="false">1+K346</f>
        <v>0.997867438950058</v>
      </c>
      <c r="N346" s="1" t="n">
        <f aca="false">Analysis!$C$35*G346+Analysis!$C$36*I346</f>
        <v>-0.02162058691738</v>
      </c>
      <c r="O346" s="1" t="n">
        <f aca="false">B346+Analysis!$C$42*N346</f>
        <v>-0.00595156443375062</v>
      </c>
      <c r="P346" s="2" t="n">
        <f aca="false">1+O346</f>
        <v>0.994048435566249</v>
      </c>
    </row>
    <row r="347" customFormat="false" ht="15" hidden="false" customHeight="false" outlineLevel="0" collapsed="false">
      <c r="A347" s="6" t="n">
        <v>36434</v>
      </c>
      <c r="B347" s="1" t="n">
        <v>0.0039</v>
      </c>
      <c r="C347" s="1" t="n">
        <v>0.0648</v>
      </c>
      <c r="D347" s="1" t="n">
        <v>0.0142</v>
      </c>
      <c r="E347" s="1" t="n">
        <v>0.0642</v>
      </c>
      <c r="G347" s="1" t="n">
        <f aca="false">C347-$B347</f>
        <v>0.0609</v>
      </c>
      <c r="I347" s="1" t="n">
        <f aca="false">D347-E347</f>
        <v>-0.05</v>
      </c>
      <c r="K347" s="1" t="n">
        <f aca="false">(1-Analysis!$C$21)*B347 + Analysis!$C$21*C347</f>
        <v>0.0171629230303771</v>
      </c>
      <c r="L347" s="2" t="n">
        <f aca="false">1+K347</f>
        <v>1.01716292303038</v>
      </c>
      <c r="N347" s="1" t="n">
        <f aca="false">Analysis!$C$35*G347+Analysis!$C$36*I347</f>
        <v>-0.00455698163714187</v>
      </c>
      <c r="O347" s="1" t="n">
        <f aca="false">B347+Analysis!$C$42*N347</f>
        <v>0.00182358096506467</v>
      </c>
      <c r="P347" s="2" t="n">
        <f aca="false">1+O347</f>
        <v>1.00182358096506</v>
      </c>
    </row>
    <row r="348" customFormat="false" ht="15" hidden="false" customHeight="false" outlineLevel="0" collapsed="false">
      <c r="A348" s="6" t="n">
        <v>36465</v>
      </c>
      <c r="B348" s="1" t="n">
        <v>0.0036</v>
      </c>
      <c r="C348" s="1" t="n">
        <v>0.0377</v>
      </c>
      <c r="D348" s="1" t="n">
        <v>0.0283</v>
      </c>
      <c r="E348" s="1" t="n">
        <v>0.0443</v>
      </c>
      <c r="G348" s="1" t="n">
        <f aca="false">C348-$B348</f>
        <v>0.0341</v>
      </c>
      <c r="I348" s="1" t="n">
        <f aca="false">D348-E348</f>
        <v>-0.016</v>
      </c>
      <c r="K348" s="1" t="n">
        <f aca="false">(1-Analysis!$C$21)*B348 + Analysis!$C$21*C348</f>
        <v>0.0110263657690617</v>
      </c>
      <c r="L348" s="2" t="n">
        <f aca="false">1+K348</f>
        <v>1.01102636576906</v>
      </c>
      <c r="N348" s="1" t="n">
        <f aca="false">Analysis!$C$35*G348+Analysis!$C$36*I348</f>
        <v>0.00452926257871228</v>
      </c>
      <c r="O348" s="1" t="n">
        <f aca="false">B348+Analysis!$C$42*N348</f>
        <v>0.00566378866133791</v>
      </c>
      <c r="P348" s="2" t="n">
        <f aca="false">1+O348</f>
        <v>1.00566378866134</v>
      </c>
    </row>
    <row r="349" customFormat="false" ht="15" hidden="false" customHeight="false" outlineLevel="0" collapsed="false">
      <c r="A349" s="6" t="n">
        <v>36495</v>
      </c>
      <c r="B349" s="1" t="n">
        <v>0.0044</v>
      </c>
      <c r="C349" s="1" t="n">
        <v>0.081</v>
      </c>
      <c r="D349" s="1" t="n">
        <v>0.0517</v>
      </c>
      <c r="E349" s="1" t="n">
        <v>0.0847</v>
      </c>
      <c r="G349" s="1" t="n">
        <f aca="false">C349-$B349</f>
        <v>0.0766</v>
      </c>
      <c r="I349" s="1" t="n">
        <f aca="false">D349-E349</f>
        <v>-0.033</v>
      </c>
      <c r="K349" s="1" t="n">
        <f aca="false">(1-Analysis!$C$21)*B349 + Analysis!$C$21*C349</f>
        <v>0.0210821002319685</v>
      </c>
      <c r="L349" s="2" t="n">
        <f aca="false">1+K349</f>
        <v>1.02108210023197</v>
      </c>
      <c r="N349" s="1" t="n">
        <f aca="false">Analysis!$C$35*G349+Analysis!$C$36*I349</f>
        <v>0.011910322926684</v>
      </c>
      <c r="O349" s="1" t="n">
        <f aca="false">B349+Analysis!$C$42*N349</f>
        <v>0.00982701797076021</v>
      </c>
      <c r="P349" s="2" t="n">
        <f aca="false">1+O349</f>
        <v>1.00982701797076</v>
      </c>
    </row>
    <row r="350" customFormat="false" ht="15" hidden="false" customHeight="false" outlineLevel="0" collapsed="false">
      <c r="A350" s="6" t="n">
        <v>36526</v>
      </c>
      <c r="B350" s="1" t="n">
        <v>0.0041</v>
      </c>
      <c r="C350" s="1" t="n">
        <v>-0.0433</v>
      </c>
      <c r="D350" s="1" t="n">
        <v>-0.0342</v>
      </c>
      <c r="E350" s="1" t="n">
        <v>-0.0454</v>
      </c>
      <c r="G350" s="1" t="n">
        <f aca="false">C350-$B350</f>
        <v>-0.0474</v>
      </c>
      <c r="I350" s="1" t="n">
        <f aca="false">D350-E350</f>
        <v>0.0112</v>
      </c>
      <c r="K350" s="1" t="n">
        <f aca="false">(1-Analysis!$C$21)*B350 + Analysis!$C$21*C350</f>
        <v>-0.00622286620098315</v>
      </c>
      <c r="L350" s="2" t="n">
        <f aca="false">1+K350</f>
        <v>0.993777133799017</v>
      </c>
      <c r="N350" s="1" t="n">
        <f aca="false">Analysis!$C$35*G350+Analysis!$C$36*I350</f>
        <v>-0.0128122711998511</v>
      </c>
      <c r="O350" s="1" t="n">
        <f aca="false">B350+Analysis!$C$42*N350</f>
        <v>-0.00173799670889397</v>
      </c>
      <c r="P350" s="2" t="n">
        <f aca="false">1+O350</f>
        <v>0.998262003291106</v>
      </c>
    </row>
    <row r="351" customFormat="false" ht="15" hidden="false" customHeight="false" outlineLevel="0" collapsed="false">
      <c r="A351" s="6" t="n">
        <v>36557</v>
      </c>
      <c r="B351" s="1" t="n">
        <v>0.0043</v>
      </c>
      <c r="C351" s="1" t="n">
        <v>0.0289</v>
      </c>
      <c r="D351" s="1" t="n">
        <v>0.0397</v>
      </c>
      <c r="E351" s="1" t="n">
        <v>0.0211</v>
      </c>
      <c r="G351" s="1" t="n">
        <f aca="false">C351-$B351</f>
        <v>0.0246</v>
      </c>
      <c r="I351" s="1" t="n">
        <f aca="false">D351-E351</f>
        <v>0.0186</v>
      </c>
      <c r="K351" s="1" t="n">
        <f aca="false">(1-Analysis!$C$21)*B351 + Analysis!$C$21*C351</f>
        <v>0.00965743688911784</v>
      </c>
      <c r="L351" s="2" t="n">
        <f aca="false">1+K351</f>
        <v>1.00965743688912</v>
      </c>
      <c r="N351" s="1" t="n">
        <f aca="false">Analysis!$C$35*G351+Analysis!$C$36*I351</f>
        <v>0.0210585943208039</v>
      </c>
      <c r="O351" s="1" t="n">
        <f aca="false">B351+Analysis!$C$42*N351</f>
        <v>0.0138954887639449</v>
      </c>
      <c r="P351" s="2" t="n">
        <f aca="false">1+O351</f>
        <v>1.01389548876394</v>
      </c>
    </row>
    <row r="352" customFormat="false" ht="15" hidden="false" customHeight="false" outlineLevel="0" collapsed="false">
      <c r="A352" s="6" t="n">
        <v>36586</v>
      </c>
      <c r="B352" s="1" t="n">
        <v>0.0047</v>
      </c>
      <c r="C352" s="1" t="n">
        <v>0.0568</v>
      </c>
      <c r="D352" s="1" t="n">
        <v>0.0674</v>
      </c>
      <c r="E352" s="1" t="n">
        <v>0.0778</v>
      </c>
      <c r="G352" s="1" t="n">
        <f aca="false">C352-$B352</f>
        <v>0.0521</v>
      </c>
      <c r="I352" s="1" t="n">
        <f aca="false">D352-E352</f>
        <v>-0.0104</v>
      </c>
      <c r="K352" s="1" t="n">
        <f aca="false">(1-Analysis!$C$21)*B352 + Analysis!$C$21*C352</f>
        <v>0.016046441541587</v>
      </c>
      <c r="L352" s="2" t="n">
        <f aca="false">1+K352</f>
        <v>1.01604644154159</v>
      </c>
      <c r="N352" s="1" t="n">
        <f aca="false">Analysis!$C$35*G352+Analysis!$C$36*I352</f>
        <v>0.0152103575083736</v>
      </c>
      <c r="O352" s="1" t="n">
        <f aca="false">B352+Analysis!$C$42*N352</f>
        <v>0.011630700707929</v>
      </c>
      <c r="P352" s="2" t="n">
        <f aca="false">1+O352</f>
        <v>1.01163070070793</v>
      </c>
    </row>
    <row r="353" customFormat="false" ht="15" hidden="false" customHeight="false" outlineLevel="0" collapsed="false">
      <c r="A353" s="6" t="n">
        <v>36617</v>
      </c>
      <c r="B353" s="1" t="n">
        <v>0.0046</v>
      </c>
      <c r="C353" s="1" t="n">
        <v>-0.0593</v>
      </c>
      <c r="D353" s="1" t="n">
        <v>-0.0295</v>
      </c>
      <c r="E353" s="1" t="n">
        <v>-0.0452</v>
      </c>
      <c r="G353" s="1" t="n">
        <f aca="false">C353-$B353</f>
        <v>-0.0639</v>
      </c>
      <c r="I353" s="1" t="n">
        <f aca="false">D353-E353</f>
        <v>0.0157</v>
      </c>
      <c r="K353" s="1" t="n">
        <f aca="false">(1-Analysis!$C$21)*B353 + Analysis!$C$21*C353</f>
        <v>-0.00931626899246462</v>
      </c>
      <c r="L353" s="2" t="n">
        <f aca="false">1+K353</f>
        <v>0.990683731007535</v>
      </c>
      <c r="N353" s="1" t="n">
        <f aca="false">Analysis!$C$35*G353+Analysis!$C$36*I353</f>
        <v>-0.0169173513226646</v>
      </c>
      <c r="O353" s="1" t="n">
        <f aca="false">B353+Analysis!$C$42*N353</f>
        <v>-0.00310850380891618</v>
      </c>
      <c r="P353" s="2" t="n">
        <f aca="false">1+O353</f>
        <v>0.996891496191084</v>
      </c>
    </row>
    <row r="354" customFormat="false" ht="15" hidden="false" customHeight="false" outlineLevel="0" collapsed="false">
      <c r="A354" s="6" t="n">
        <v>36647</v>
      </c>
      <c r="B354" s="1" t="n">
        <v>0.005</v>
      </c>
      <c r="C354" s="1" t="n">
        <v>-0.0389</v>
      </c>
      <c r="D354" s="1" t="n">
        <v>-0.0002</v>
      </c>
      <c r="E354" s="1" t="n">
        <v>-0.0361</v>
      </c>
      <c r="G354" s="1" t="n">
        <f aca="false">C354-$B354</f>
        <v>-0.0439</v>
      </c>
      <c r="I354" s="1" t="n">
        <f aca="false">D354-E354</f>
        <v>0.0359</v>
      </c>
      <c r="K354" s="1" t="n">
        <f aca="false">(1-Analysis!$C$21)*B354 + Analysis!$C$21*C354</f>
        <v>-0.00456062924521435</v>
      </c>
      <c r="L354" s="2" t="n">
        <f aca="false">1+K354</f>
        <v>0.995439370754786</v>
      </c>
      <c r="N354" s="1" t="n">
        <f aca="false">Analysis!$C$35*G354+Analysis!$C$36*I354</f>
        <v>0.00320069553330858</v>
      </c>
      <c r="O354" s="1" t="n">
        <f aca="false">B354+Analysis!$C$42*N354</f>
        <v>0.00645841823812193</v>
      </c>
      <c r="P354" s="2" t="n">
        <f aca="false">1+O354</f>
        <v>1.00645841823812</v>
      </c>
    </row>
    <row r="355" customFormat="false" ht="15" hidden="false" customHeight="false" outlineLevel="0" collapsed="false">
      <c r="A355" s="6" t="n">
        <v>36678</v>
      </c>
      <c r="B355" s="1" t="n">
        <v>0.004</v>
      </c>
      <c r="C355" s="1" t="n">
        <v>0.0508</v>
      </c>
      <c r="D355" s="1" t="n">
        <v>0.0178</v>
      </c>
      <c r="E355" s="1" t="n">
        <v>0.0503</v>
      </c>
      <c r="G355" s="1" t="n">
        <f aca="false">C355-$B355</f>
        <v>0.0468</v>
      </c>
      <c r="I355" s="1" t="n">
        <f aca="false">D355-E355</f>
        <v>-0.0325</v>
      </c>
      <c r="K355" s="1" t="n">
        <f aca="false">(1-Analysis!$C$21)*B355 + Analysis!$C$21*C355</f>
        <v>0.0141921970085656</v>
      </c>
      <c r="L355" s="2" t="n">
        <f aca="false">1+K355</f>
        <v>1.01419219700857</v>
      </c>
      <c r="N355" s="1" t="n">
        <f aca="false">Analysis!$C$35*G355+Analysis!$C$36*I355</f>
        <v>-5.57839337557084E-006</v>
      </c>
      <c r="O355" s="1" t="n">
        <f aca="false">B355+Analysis!$C$42*N355</f>
        <v>0.00399745816790329</v>
      </c>
      <c r="P355" s="2" t="n">
        <f aca="false">1+O355</f>
        <v>1.0039974581679</v>
      </c>
    </row>
    <row r="356" customFormat="false" ht="15" hidden="false" customHeight="false" outlineLevel="0" collapsed="false">
      <c r="A356" s="6" t="n">
        <v>36708</v>
      </c>
      <c r="B356" s="1" t="n">
        <v>0.0048</v>
      </c>
      <c r="C356" s="1" t="n">
        <v>-0.02</v>
      </c>
      <c r="D356" s="1" t="n">
        <v>0.0357</v>
      </c>
      <c r="E356" s="1" t="n">
        <v>-0.0304</v>
      </c>
      <c r="G356" s="1" t="n">
        <f aca="false">C356-$B356</f>
        <v>-0.0248</v>
      </c>
      <c r="I356" s="1" t="n">
        <f aca="false">D356-E356</f>
        <v>0.0661</v>
      </c>
      <c r="K356" s="1" t="n">
        <f aca="false">(1-Analysis!$C$21)*B356 + Analysis!$C$21*C356</f>
        <v>-0.000600993286590339</v>
      </c>
      <c r="L356" s="2" t="n">
        <f aca="false">1+K356</f>
        <v>0.99939900671341</v>
      </c>
      <c r="N356" s="1" t="n">
        <f aca="false">Analysis!$C$35*G356+Analysis!$C$36*I356</f>
        <v>0.0288522960398214</v>
      </c>
      <c r="O356" s="1" t="n">
        <f aca="false">B356+Analysis!$C$42*N356</f>
        <v>0.0179467408624998</v>
      </c>
      <c r="P356" s="2" t="n">
        <f aca="false">1+O356</f>
        <v>1.0179467408625</v>
      </c>
    </row>
    <row r="357" customFormat="false" ht="15" hidden="false" customHeight="false" outlineLevel="0" collapsed="false">
      <c r="A357" s="6" t="n">
        <v>36739</v>
      </c>
      <c r="B357" s="1" t="n">
        <v>0.005</v>
      </c>
      <c r="C357" s="1" t="n">
        <v>0.0753</v>
      </c>
      <c r="D357" s="1" t="n">
        <v>0.0684</v>
      </c>
      <c r="E357" s="1" t="n">
        <v>0.0754</v>
      </c>
      <c r="G357" s="1" t="n">
        <f aca="false">C357-$B357</f>
        <v>0.0703</v>
      </c>
      <c r="I357" s="1" t="n">
        <f aca="false">D357-E357</f>
        <v>-0.00699999999999999</v>
      </c>
      <c r="K357" s="1" t="n">
        <f aca="false">(1-Analysis!$C$21)*B357 + Analysis!$C$21*C357</f>
        <v>0.0203100737115847</v>
      </c>
      <c r="L357" s="2" t="n">
        <f aca="false">1+K357</f>
        <v>1.02031007371158</v>
      </c>
      <c r="N357" s="1" t="n">
        <f aca="false">Analysis!$C$35*G357+Analysis!$C$36*I357</f>
        <v>0.0246748901663565</v>
      </c>
      <c r="O357" s="1" t="n">
        <f aca="false">B357+Analysis!$C$42*N357</f>
        <v>0.0162432780524645</v>
      </c>
      <c r="P357" s="2" t="n">
        <f aca="false">1+O357</f>
        <v>1.01624327805246</v>
      </c>
    </row>
    <row r="358" customFormat="false" ht="15" hidden="false" customHeight="false" outlineLevel="0" collapsed="false">
      <c r="A358" s="6" t="n">
        <v>36770</v>
      </c>
      <c r="B358" s="1" t="n">
        <v>0.0051</v>
      </c>
      <c r="C358" s="1" t="n">
        <v>-0.0493</v>
      </c>
      <c r="D358" s="1" t="n">
        <v>0.0088</v>
      </c>
      <c r="E358" s="1" t="n">
        <v>-0.0597</v>
      </c>
      <c r="G358" s="1" t="n">
        <f aca="false">C358-$B358</f>
        <v>-0.0544</v>
      </c>
      <c r="I358" s="1" t="n">
        <f aca="false">D358-E358</f>
        <v>0.0685</v>
      </c>
      <c r="K358" s="1" t="n">
        <f aca="false">(1-Analysis!$C$21)*B358 + Analysis!$C$21*C358</f>
        <v>-0.00674734011252074</v>
      </c>
      <c r="L358" s="2" t="n">
        <f aca="false">1+K358</f>
        <v>0.993252659887479</v>
      </c>
      <c r="N358" s="1" t="n">
        <f aca="false">Analysis!$C$35*G358+Analysis!$C$36*I358</f>
        <v>0.0181397929955341</v>
      </c>
      <c r="O358" s="1" t="n">
        <f aca="false">B358+Analysis!$C$42*N358</f>
        <v>0.0133655174992844</v>
      </c>
      <c r="P358" s="2" t="n">
        <f aca="false">1+O358</f>
        <v>1.01336551749928</v>
      </c>
    </row>
    <row r="359" customFormat="false" ht="15" hidden="false" customHeight="false" outlineLevel="0" collapsed="false">
      <c r="A359" s="6" t="n">
        <v>36800</v>
      </c>
      <c r="B359" s="1" t="n">
        <v>0.0056</v>
      </c>
      <c r="C359" s="1" t="n">
        <v>-0.0222</v>
      </c>
      <c r="D359" s="1" t="n">
        <v>0.0118</v>
      </c>
      <c r="E359" s="1" t="n">
        <v>-0.0211</v>
      </c>
      <c r="G359" s="1" t="n">
        <f aca="false">C359-$B359</f>
        <v>-0.0278</v>
      </c>
      <c r="I359" s="1" t="n">
        <f aca="false">D359-E359</f>
        <v>0.0329</v>
      </c>
      <c r="K359" s="1" t="n">
        <f aca="false">(1-Analysis!$C$21)*B359 + Analysis!$C$21*C359</f>
        <v>-0.000454339248677879</v>
      </c>
      <c r="L359" s="2" t="n">
        <f aca="false">1+K359</f>
        <v>0.999545660751322</v>
      </c>
      <c r="N359" s="1" t="n">
        <f aca="false">Analysis!$C$35*G359+Analysis!$C$36*I359</f>
        <v>0.00802722078786755</v>
      </c>
      <c r="O359" s="1" t="n">
        <f aca="false">B359+Analysis!$C$42*N359</f>
        <v>0.00925765661764018</v>
      </c>
      <c r="P359" s="2" t="n">
        <f aca="false">1+O359</f>
        <v>1.00925765661764</v>
      </c>
    </row>
    <row r="360" customFormat="false" ht="15" hidden="false" customHeight="false" outlineLevel="0" collapsed="false">
      <c r="A360" s="6" t="n">
        <v>36831</v>
      </c>
      <c r="B360" s="1" t="n">
        <v>0.0051</v>
      </c>
      <c r="C360" s="1" t="n">
        <v>-0.1019</v>
      </c>
      <c r="D360" s="1" t="n">
        <v>-0.0078</v>
      </c>
      <c r="E360" s="1" t="n">
        <v>-0.1071</v>
      </c>
      <c r="G360" s="1" t="n">
        <f aca="false">C360-$B360</f>
        <v>-0.107</v>
      </c>
      <c r="I360" s="1" t="n">
        <f aca="false">D360-E360</f>
        <v>0.0993</v>
      </c>
      <c r="K360" s="1" t="n">
        <f aca="false">(1-Analysis!$C$21)*B360 + Analysis!$C$21*C360</f>
        <v>-0.018202672647789</v>
      </c>
      <c r="L360" s="2" t="n">
        <f aca="false">1+K360</f>
        <v>0.981797327352211</v>
      </c>
      <c r="N360" s="1" t="n">
        <f aca="false">Analysis!$C$35*G360+Analysis!$C$36*I360</f>
        <v>0.0147653319363604</v>
      </c>
      <c r="O360" s="1" t="n">
        <f aca="false">B360+Analysis!$C$42*N360</f>
        <v>0.0118279218419292</v>
      </c>
      <c r="P360" s="2" t="n">
        <f aca="false">1+O360</f>
        <v>1.01182792184193</v>
      </c>
    </row>
    <row r="361" customFormat="false" ht="15" hidden="false" customHeight="false" outlineLevel="0" collapsed="false">
      <c r="A361" s="6" t="n">
        <v>36861</v>
      </c>
      <c r="B361" s="1" t="n">
        <v>0.005</v>
      </c>
      <c r="C361" s="1" t="n">
        <v>0.0168</v>
      </c>
      <c r="D361" s="1" t="n">
        <v>0.0872</v>
      </c>
      <c r="E361" s="1" t="n">
        <v>-0.0025</v>
      </c>
      <c r="G361" s="1" t="n">
        <f aca="false">C361-$B361</f>
        <v>0.0118</v>
      </c>
      <c r="I361" s="1" t="n">
        <f aca="false">D361-E361</f>
        <v>0.0897</v>
      </c>
      <c r="K361" s="1" t="n">
        <f aca="false">(1-Analysis!$C$21)*B361 + Analysis!$C$21*C361</f>
        <v>0.00756982745087766</v>
      </c>
      <c r="L361" s="2" t="n">
        <f aca="false">1+K361</f>
        <v>1.00756982745088</v>
      </c>
      <c r="N361" s="1" t="n">
        <f aca="false">Analysis!$C$35*G361+Analysis!$C$36*I361</f>
        <v>0.0577792504015631</v>
      </c>
      <c r="O361" s="1" t="n">
        <f aca="false">B361+Analysis!$C$42*N361</f>
        <v>0.0313275002866476</v>
      </c>
      <c r="P361" s="2" t="n">
        <f aca="false">1+O361</f>
        <v>1.03132750028665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11.53515625" defaultRowHeight="13.8" zeroHeight="false" outlineLevelRow="0" outlineLevelCol="0"/>
  <cols>
    <col collapsed="false" customWidth="true" hidden="false" outlineLevel="0" max="2" min="2" style="7" width="35.01"/>
    <col collapsed="false" customWidth="true" hidden="false" outlineLevel="0" max="4" min="4" style="0" width="17.01"/>
  </cols>
  <sheetData>
    <row r="1" customFormat="false" ht="13.8" hidden="false" customHeight="false" outlineLevel="0" collapsed="false">
      <c r="A1" s="8" t="s">
        <v>11</v>
      </c>
    </row>
    <row r="2" customFormat="false" ht="13.8" hidden="false" customHeight="false" outlineLevel="0" collapsed="false">
      <c r="B2" s="7" t="s">
        <v>12</v>
      </c>
      <c r="C2" s="1" t="n">
        <f aca="false">AVERAGE(Data!G2:G361)</f>
        <v>0.00591694444444445</v>
      </c>
    </row>
    <row r="3" customFormat="false" ht="13.8" hidden="false" customHeight="false" outlineLevel="0" collapsed="false">
      <c r="B3" s="7" t="s">
        <v>13</v>
      </c>
      <c r="C3" s="9" t="n">
        <f aca="false">STDEV(Data!G2:G361)</f>
        <v>0.045917479774644</v>
      </c>
    </row>
    <row r="4" customFormat="false" ht="13.8" hidden="false" customHeight="false" outlineLevel="0" collapsed="false">
      <c r="B4" s="7" t="s">
        <v>14</v>
      </c>
      <c r="C4" s="10" t="n">
        <f aca="false">C2/C3</f>
        <v>0.12886039202247</v>
      </c>
    </row>
    <row r="5" customFormat="false" ht="13.8" hidden="false" customHeight="false" outlineLevel="0" collapsed="false">
      <c r="B5" s="11"/>
    </row>
    <row r="6" customFormat="false" ht="13.8" hidden="false" customHeight="false" outlineLevel="0" collapsed="false">
      <c r="A6" s="8" t="s">
        <v>15</v>
      </c>
    </row>
    <row r="7" customFormat="false" ht="13.8" hidden="false" customHeight="false" outlineLevel="0" collapsed="false">
      <c r="B7" s="7" t="s">
        <v>12</v>
      </c>
      <c r="C7" s="1" t="n">
        <f aca="false">AVERAGE(Data!I2:I361)</f>
        <v>0.00364416666666667</v>
      </c>
    </row>
    <row r="8" customFormat="false" ht="13.8" hidden="false" customHeight="false" outlineLevel="0" collapsed="false">
      <c r="B8" s="7" t="s">
        <v>13</v>
      </c>
      <c r="C8" s="9" t="n">
        <f aca="false">STDEV(Data!I2:I361)</f>
        <v>0.030553429513132</v>
      </c>
    </row>
    <row r="9" customFormat="false" ht="13.8" hidden="false" customHeight="false" outlineLevel="0" collapsed="false">
      <c r="B9" s="7" t="s">
        <v>14</v>
      </c>
      <c r="C9" s="10" t="n">
        <f aca="false">C7/C8</f>
        <v>0.119271935253631</v>
      </c>
    </row>
    <row r="10" customFormat="false" ht="13.8" hidden="false" customHeight="false" outlineLevel="0" collapsed="false">
      <c r="B10" s="7" t="s">
        <v>16</v>
      </c>
      <c r="C10" s="10" t="n">
        <f aca="false">CORREL(Data!I2:I361,Data!G2:G361)</f>
        <v>-0.291165049966548</v>
      </c>
    </row>
    <row r="11" customFormat="false" ht="13.8" hidden="false" customHeight="false" outlineLevel="0" collapsed="false">
      <c r="B11" s="7" t="s">
        <v>17</v>
      </c>
      <c r="C11" s="10" t="n">
        <f aca="false">SLOPE(Data!I2:I361,Data!G2:G361)</f>
        <v>-0.193740834089788</v>
      </c>
    </row>
    <row r="12" customFormat="false" ht="13.8" hidden="false" customHeight="false" outlineLevel="0" collapsed="false">
      <c r="B12" s="7" t="s">
        <v>18</v>
      </c>
      <c r="C12" s="9" t="n">
        <f aca="false">INTERCEPT(Data!I2:I361,Data!G2:G361)</f>
        <v>0.00479052041859627</v>
      </c>
    </row>
    <row r="13" customFormat="false" ht="13.8" hidden="false" customHeight="false" outlineLevel="0" collapsed="false">
      <c r="B13" s="7" t="s">
        <v>19</v>
      </c>
      <c r="C13" s="10" t="n">
        <f aca="false">C12 / SQRT( C8^2 - C11^2*C3^2)</f>
        <v>0.163892578487323</v>
      </c>
    </row>
    <row r="14" customFormat="false" ht="13.8" hidden="false" customHeight="false" outlineLevel="0" collapsed="false">
      <c r="B14" s="7" t="s">
        <v>20</v>
      </c>
      <c r="C14" s="10" t="n">
        <f aca="false">SQRT(C13^2 + C4^2)</f>
        <v>0.208484478835735</v>
      </c>
    </row>
    <row r="15" customFormat="false" ht="13.8" hidden="false" customHeight="false" outlineLevel="0" collapsed="false">
      <c r="C15" s="10"/>
    </row>
    <row r="16" customFormat="false" ht="13.8" hidden="false" customHeight="false" outlineLevel="0" collapsed="false">
      <c r="B16" s="7" t="s">
        <v>21</v>
      </c>
      <c r="C16" s="1" t="n">
        <f aca="false">AVERAGE(Data!B2:B361)</f>
        <v>0.00540222222222222</v>
      </c>
      <c r="D16" s="0" t="s">
        <v>22</v>
      </c>
    </row>
    <row r="18" customFormat="false" ht="13.8" hidden="false" customHeight="false" outlineLevel="0" collapsed="false">
      <c r="A18" s="8" t="s">
        <v>23</v>
      </c>
    </row>
    <row r="20" customFormat="false" ht="13.8" hidden="false" customHeight="false" outlineLevel="0" collapsed="false">
      <c r="A20" s="12" t="s">
        <v>24</v>
      </c>
    </row>
    <row r="21" customFormat="false" ht="13.8" hidden="false" customHeight="false" outlineLevel="0" collapsed="false">
      <c r="B21" s="7" t="s">
        <v>25</v>
      </c>
      <c r="C21" s="1" t="n">
        <f aca="false">0.01/C3</f>
        <v>0.217781987362514</v>
      </c>
    </row>
    <row r="22" customFormat="false" ht="13.8" hidden="false" customHeight="false" outlineLevel="0" collapsed="false">
      <c r="B22" s="7" t="s">
        <v>26</v>
      </c>
      <c r="C22" s="13" t="n">
        <f aca="false">(1+C16 + C21*C2 - 0.5*0.01^2)^360</f>
        <v>10.8351369872705</v>
      </c>
      <c r="D22" s="0" t="s">
        <v>27</v>
      </c>
    </row>
    <row r="23" customFormat="false" ht="13.8" hidden="false" customHeight="false" outlineLevel="0" collapsed="false">
      <c r="C23" s="13" t="n">
        <f aca="false">PRODUCT(Data!L2:L361)</f>
        <v>10.8376553509036</v>
      </c>
      <c r="D23" s="0" t="s">
        <v>28</v>
      </c>
    </row>
    <row r="24" customFormat="false" ht="13.8" hidden="false" customHeight="false" outlineLevel="0" collapsed="false">
      <c r="E24" s="1"/>
      <c r="F24" s="1"/>
    </row>
    <row r="25" customFormat="false" ht="13.8" hidden="false" customHeight="false" outlineLevel="0" collapsed="false">
      <c r="C25" s="13"/>
    </row>
    <row r="26" customFormat="false" ht="13.8" hidden="false" customHeight="false" outlineLevel="0" collapsed="false">
      <c r="A26" s="12" t="s">
        <v>29</v>
      </c>
    </row>
    <row r="27" customFormat="false" ht="13.8" hidden="false" customHeight="false" outlineLevel="0" collapsed="false">
      <c r="B27" s="7" t="s">
        <v>30</v>
      </c>
    </row>
    <row r="29" customFormat="false" ht="13.8" hidden="false" customHeight="false" outlineLevel="0" collapsed="false">
      <c r="B29" s="7" t="s">
        <v>31</v>
      </c>
      <c r="C29" s="1" t="n">
        <f aca="false">C2</f>
        <v>0.00591694444444445</v>
      </c>
      <c r="D29" s="0" t="s">
        <v>32</v>
      </c>
      <c r="E29" s="1" t="n">
        <f aca="false">C3^2</f>
        <v>0.00210841494885484</v>
      </c>
      <c r="F29" s="1" t="n">
        <f aca="false">C10*C3*C8</f>
        <v>-0.000408486070798514</v>
      </c>
    </row>
    <row r="30" customFormat="false" ht="13.8" hidden="false" customHeight="false" outlineLevel="0" collapsed="false">
      <c r="C30" s="1" t="n">
        <f aca="false">C7</f>
        <v>0.00364416666666667</v>
      </c>
      <c r="E30" s="1" t="n">
        <f aca="false">C10*C3*C8</f>
        <v>-0.000408486070798514</v>
      </c>
      <c r="F30" s="1" t="n">
        <f aca="false">C8^2</f>
        <v>0.000933512055013928</v>
      </c>
    </row>
    <row r="32" customFormat="false" ht="13.8" hidden="false" customHeight="false" outlineLevel="0" collapsed="false">
      <c r="B32" s="7" t="s">
        <v>33</v>
      </c>
      <c r="C32" s="0" t="n">
        <f aca="false" t="array" ref="C32:C33"> MMULT( MINVERSE( E29:F30 ) , C29:C30 )</f>
        <v>3.89266540101233</v>
      </c>
    </row>
    <row r="33" customFormat="false" ht="13.8" hidden="false" customHeight="false" outlineLevel="0" collapsed="false">
      <c r="B33" s="7" t="s">
        <v>34</v>
      </c>
      <c r="C33" s="0" t="n">
        <v>5.6070687391192</v>
      </c>
      <c r="D33" s="1"/>
    </row>
    <row r="35" customFormat="false" ht="13.8" hidden="false" customHeight="false" outlineLevel="0" collapsed="false">
      <c r="B35" s="7" t="s">
        <v>35</v>
      </c>
      <c r="C35" s="1" t="n">
        <f aca="false">C32/(C$32+C$33)</f>
        <v>0.409765720133978</v>
      </c>
    </row>
    <row r="36" customFormat="false" ht="13.8" hidden="false" customHeight="false" outlineLevel="0" collapsed="false">
      <c r="B36" s="7" t="s">
        <v>36</v>
      </c>
      <c r="C36" s="1" t="n">
        <f aca="false">C33/(C$32+C$33)</f>
        <v>0.590234279866022</v>
      </c>
    </row>
    <row r="38" customFormat="false" ht="13.8" hidden="false" customHeight="false" outlineLevel="0" collapsed="false">
      <c r="B38" s="7" t="s">
        <v>37</v>
      </c>
      <c r="C38" s="1" t="n">
        <f aca="false">C35*C2 + C36*C7</f>
        <v>0.00457547308948228</v>
      </c>
    </row>
    <row r="39" customFormat="false" ht="13.8" hidden="false" customHeight="false" outlineLevel="0" collapsed="false">
      <c r="B39" s="7" t="s">
        <v>38</v>
      </c>
      <c r="C39" s="1" t="n">
        <f aca="false" t="array" ref="C39:C39">SQRT( MMULT( MMULT( TRANSPOSE(C35:C36), E29:F30 ) , C35:C36 ) )</f>
        <v>0.0219463487883302</v>
      </c>
    </row>
    <row r="40" customFormat="false" ht="13.8" hidden="false" customHeight="false" outlineLevel="0" collapsed="false">
      <c r="B40" s="7" t="s">
        <v>39</v>
      </c>
      <c r="C40" s="10" t="n">
        <f aca="false">C38/C39</f>
        <v>0.208484478835735</v>
      </c>
    </row>
    <row r="42" customFormat="false" ht="13.8" hidden="false" customHeight="false" outlineLevel="0" collapsed="false">
      <c r="B42" s="7" t="s">
        <v>25</v>
      </c>
      <c r="C42" s="1" t="n">
        <f aca="false">0.01/C39</f>
        <v>0.455656660542888</v>
      </c>
    </row>
    <row r="43" customFormat="false" ht="13.8" hidden="false" customHeight="false" outlineLevel="0" collapsed="false">
      <c r="B43" s="7" t="s">
        <v>26</v>
      </c>
      <c r="C43" s="13" t="n">
        <f aca="false">(1+C16+C42*C38 - 0.5*0.01^2)^360</f>
        <v>14.4030129531046</v>
      </c>
      <c r="D43" s="0" t="s">
        <v>27</v>
      </c>
    </row>
    <row r="44" customFormat="false" ht="13.8" hidden="false" customHeight="false" outlineLevel="0" collapsed="false">
      <c r="C44" s="13" t="n">
        <f aca="false">PRODUCT(Data!P2:P361)</f>
        <v>14.4006249124159</v>
      </c>
      <c r="D44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2025-11-14T03:45:10Z</dcterms:created>
  <dc:creator/>
  <dc:description/>
  <dc:language>en-US</dc:language>
  <cp:lastModifiedBy/>
  <dcterms:modified xsi:type="dcterms:W3CDTF">2025-11-13T23:46:54Z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