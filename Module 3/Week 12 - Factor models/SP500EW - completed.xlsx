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urns" sheetId="1" state="visible" r:id="rId3"/>
    <sheet name="Cumulative returns" sheetId="2" state="visible" r:id="rId4"/>
    <sheet name="Factor loadings and 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<sst xmlns="http://schemas.openxmlformats.org/spreadsheetml/2006/main" count="32" uniqueCount="25">
  <si>
    <t xml:space="preserve">Month</t>
  </si>
  <si>
    <t xml:space="preserve">Risk-free return</t>
  </si>
  <si>
    <t xml:space="preserve">Market excess return</t>
  </si>
  <si>
    <t xml:space="preserve">SMB return</t>
  </si>
  <si>
    <t xml:space="preserve">HML return</t>
  </si>
  <si>
    <t xml:space="preserve">S&amp;P 500 VW total return</t>
  </si>
  <si>
    <t xml:space="preserve">S&amp;P 500 EW total return</t>
  </si>
  <si>
    <t xml:space="preserve">VW excess</t>
  </si>
  <si>
    <t xml:space="preserve">EW excess</t>
  </si>
  <si>
    <t xml:space="preserve">Avg excess return:</t>
  </si>
  <si>
    <t xml:space="preserve">VW</t>
  </si>
  <si>
    <t xml:space="preserve">EW</t>
  </si>
  <si>
    <t xml:space="preserve">CAPM beta:</t>
  </si>
  <si>
    <t xml:space="preserve">CAPM alpha:</t>
  </si>
  <si>
    <t xml:space="preserve">HML</t>
  </si>
  <si>
    <t xml:space="preserve">SMB</t>
  </si>
  <si>
    <t xml:space="preserve">Mkt excess</t>
  </si>
  <si>
    <t xml:space="preserve">Constant (alpha)</t>
  </si>
  <si>
    <t xml:space="preserve">Average excess return:</t>
  </si>
  <si>
    <t xml:space="preserve">S&amp;P 500 VW</t>
  </si>
  <si>
    <t xml:space="preserve">S&amp;P 500 EW</t>
  </si>
  <si>
    <t xml:space="preserve">Average:</t>
  </si>
  <si>
    <t xml:space="preserve">Return explained by factor loadings:</t>
  </si>
  <si>
    <t xml:space="preserve">Row 3 * row 6</t>
  </si>
  <si>
    <t xml:space="preserve">Row 4 * row 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</si>
</sst>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yyyy\-mm"/>
    <numFmt numFmtId="167" formatCode="0.0000"/>
    <numFmt numFmtId="168" formatCode="[$$-409]#,##0.00;[RED]\-[$$-409]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S&amp;P 500 VW total return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60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29281</c:v>
                </c:pt>
                <c:pt idx="123">
                  <c:v>29312</c:v>
                </c:pt>
                <c:pt idx="124">
                  <c:v>29342</c:v>
                </c:pt>
                <c:pt idx="125">
                  <c:v>29373</c:v>
                </c:pt>
                <c:pt idx="126">
                  <c:v>29403</c:v>
                </c:pt>
                <c:pt idx="127">
                  <c:v>29434</c:v>
                </c:pt>
                <c:pt idx="128">
                  <c:v>29465</c:v>
                </c:pt>
                <c:pt idx="129">
                  <c:v>29495</c:v>
                </c:pt>
                <c:pt idx="130">
                  <c:v>29526</c:v>
                </c:pt>
                <c:pt idx="131">
                  <c:v>29556</c:v>
                </c:pt>
                <c:pt idx="132">
                  <c:v>29587</c:v>
                </c:pt>
                <c:pt idx="133">
                  <c:v>29618</c:v>
                </c:pt>
                <c:pt idx="134">
                  <c:v>29646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29799</c:v>
                </c:pt>
                <c:pt idx="140">
                  <c:v>29830</c:v>
                </c:pt>
                <c:pt idx="141">
                  <c:v>29860</c:v>
                </c:pt>
                <c:pt idx="142">
                  <c:v>29891</c:v>
                </c:pt>
                <c:pt idx="143">
                  <c:v>29921</c:v>
                </c:pt>
                <c:pt idx="144">
                  <c:v>29952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30072</c:v>
                </c:pt>
                <c:pt idx="149">
                  <c:v>30103</c:v>
                </c:pt>
                <c:pt idx="150">
                  <c:v>30133</c:v>
                </c:pt>
                <c:pt idx="151">
                  <c:v>30164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30317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30437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30590</c:v>
                </c:pt>
                <c:pt idx="166">
                  <c:v>30621</c:v>
                </c:pt>
                <c:pt idx="167">
                  <c:v>30651</c:v>
                </c:pt>
                <c:pt idx="168">
                  <c:v>30682</c:v>
                </c:pt>
                <c:pt idx="169">
                  <c:v>30713</c:v>
                </c:pt>
                <c:pt idx="170">
                  <c:v>30742</c:v>
                </c:pt>
                <c:pt idx="171">
                  <c:v>30773</c:v>
                </c:pt>
                <c:pt idx="172">
                  <c:v>30803</c:v>
                </c:pt>
                <c:pt idx="173">
                  <c:v>30834</c:v>
                </c:pt>
                <c:pt idx="174">
                  <c:v>30864</c:v>
                </c:pt>
                <c:pt idx="175">
                  <c:v>30895</c:v>
                </c:pt>
                <c:pt idx="176">
                  <c:v>30926</c:v>
                </c:pt>
                <c:pt idx="177">
                  <c:v>30956</c:v>
                </c:pt>
                <c:pt idx="178">
                  <c:v>30987</c:v>
                </c:pt>
                <c:pt idx="179">
                  <c:v>31017</c:v>
                </c:pt>
                <c:pt idx="180">
                  <c:v>31048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31199</c:v>
                </c:pt>
                <c:pt idx="186">
                  <c:v>31229</c:v>
                </c:pt>
                <c:pt idx="187">
                  <c:v>31260</c:v>
                </c:pt>
                <c:pt idx="188">
                  <c:v>31291</c:v>
                </c:pt>
                <c:pt idx="189">
                  <c:v>31321</c:v>
                </c:pt>
                <c:pt idx="190">
                  <c:v>31352</c:v>
                </c:pt>
                <c:pt idx="191">
                  <c:v>31382</c:v>
                </c:pt>
                <c:pt idx="192">
                  <c:v>31413</c:v>
                </c:pt>
                <c:pt idx="193">
                  <c:v>31444</c:v>
                </c:pt>
                <c:pt idx="194">
                  <c:v>31472</c:v>
                </c:pt>
                <c:pt idx="195">
                  <c:v>31503</c:v>
                </c:pt>
                <c:pt idx="196">
                  <c:v>31533</c:v>
                </c:pt>
                <c:pt idx="197">
                  <c:v>31564</c:v>
                </c:pt>
                <c:pt idx="198">
                  <c:v>31594</c:v>
                </c:pt>
                <c:pt idx="199">
                  <c:v>31625</c:v>
                </c:pt>
                <c:pt idx="200">
                  <c:v>31656</c:v>
                </c:pt>
                <c:pt idx="201">
                  <c:v>31686</c:v>
                </c:pt>
                <c:pt idx="202">
                  <c:v>31717</c:v>
                </c:pt>
                <c:pt idx="203">
                  <c:v>31747</c:v>
                </c:pt>
                <c:pt idx="204">
                  <c:v>31778</c:v>
                </c:pt>
                <c:pt idx="205">
                  <c:v>31809</c:v>
                </c:pt>
                <c:pt idx="206">
                  <c:v>31837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31990</c:v>
                </c:pt>
                <c:pt idx="212">
                  <c:v>32021</c:v>
                </c:pt>
                <c:pt idx="213">
                  <c:v>32051</c:v>
                </c:pt>
                <c:pt idx="214">
                  <c:v>32082</c:v>
                </c:pt>
                <c:pt idx="215">
                  <c:v>32112</c:v>
                </c:pt>
                <c:pt idx="216">
                  <c:v>32143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32264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32417</c:v>
                </c:pt>
                <c:pt idx="226">
                  <c:v>32448</c:v>
                </c:pt>
                <c:pt idx="227">
                  <c:v>32478</c:v>
                </c:pt>
                <c:pt idx="228">
                  <c:v>32509</c:v>
                </c:pt>
                <c:pt idx="229">
                  <c:v>32540</c:v>
                </c:pt>
                <c:pt idx="230">
                  <c:v>32568</c:v>
                </c:pt>
                <c:pt idx="231">
                  <c:v>32599</c:v>
                </c:pt>
                <c:pt idx="232">
                  <c:v>32629</c:v>
                </c:pt>
                <c:pt idx="233">
                  <c:v>32660</c:v>
                </c:pt>
                <c:pt idx="234">
                  <c:v>32690</c:v>
                </c:pt>
                <c:pt idx="235">
                  <c:v>32721</c:v>
                </c:pt>
                <c:pt idx="236">
                  <c:v>32752</c:v>
                </c:pt>
                <c:pt idx="237">
                  <c:v>32782</c:v>
                </c:pt>
                <c:pt idx="238">
                  <c:v>32813</c:v>
                </c:pt>
                <c:pt idx="239">
                  <c:v>32843</c:v>
                </c:pt>
                <c:pt idx="240">
                  <c:v>32874</c:v>
                </c:pt>
                <c:pt idx="241">
                  <c:v>32905</c:v>
                </c:pt>
                <c:pt idx="242">
                  <c:v>32933</c:v>
                </c:pt>
                <c:pt idx="243">
                  <c:v>32964</c:v>
                </c:pt>
                <c:pt idx="244">
                  <c:v>32994</c:v>
                </c:pt>
                <c:pt idx="245">
                  <c:v>33025</c:v>
                </c:pt>
                <c:pt idx="246">
                  <c:v>33055</c:v>
                </c:pt>
                <c:pt idx="247">
                  <c:v>33086</c:v>
                </c:pt>
                <c:pt idx="248">
                  <c:v>33117</c:v>
                </c:pt>
                <c:pt idx="249">
                  <c:v>33147</c:v>
                </c:pt>
                <c:pt idx="250">
                  <c:v>33178</c:v>
                </c:pt>
                <c:pt idx="251">
                  <c:v>33208</c:v>
                </c:pt>
                <c:pt idx="252">
                  <c:v>33239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33390</c:v>
                </c:pt>
                <c:pt idx="258">
                  <c:v>33420</c:v>
                </c:pt>
                <c:pt idx="259">
                  <c:v>33451</c:v>
                </c:pt>
                <c:pt idx="260">
                  <c:v>33482</c:v>
                </c:pt>
                <c:pt idx="261">
                  <c:v>33512</c:v>
                </c:pt>
                <c:pt idx="262">
                  <c:v>33543</c:v>
                </c:pt>
                <c:pt idx="263">
                  <c:v>33573</c:v>
                </c:pt>
                <c:pt idx="264">
                  <c:v>33604</c:v>
                </c:pt>
                <c:pt idx="265">
                  <c:v>33635</c:v>
                </c:pt>
                <c:pt idx="266">
                  <c:v>33664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33817</c:v>
                </c:pt>
                <c:pt idx="272">
                  <c:v>33848</c:v>
                </c:pt>
                <c:pt idx="273">
                  <c:v>33878</c:v>
                </c:pt>
                <c:pt idx="274">
                  <c:v>33909</c:v>
                </c:pt>
                <c:pt idx="275">
                  <c:v>33939</c:v>
                </c:pt>
                <c:pt idx="276">
                  <c:v>33970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34090</c:v>
                </c:pt>
                <c:pt idx="281">
                  <c:v>34121</c:v>
                </c:pt>
                <c:pt idx="282">
                  <c:v>34151</c:v>
                </c:pt>
                <c:pt idx="283">
                  <c:v>34182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34335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34455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34608</c:v>
                </c:pt>
                <c:pt idx="298">
                  <c:v>34639</c:v>
                </c:pt>
                <c:pt idx="299">
                  <c:v>34669</c:v>
                </c:pt>
                <c:pt idx="300">
                  <c:v>34700</c:v>
                </c:pt>
                <c:pt idx="301">
                  <c:v>34731</c:v>
                </c:pt>
                <c:pt idx="302">
                  <c:v>34759</c:v>
                </c:pt>
                <c:pt idx="303">
                  <c:v>34790</c:v>
                </c:pt>
                <c:pt idx="304">
                  <c:v>34820</c:v>
                </c:pt>
                <c:pt idx="305">
                  <c:v>34851</c:v>
                </c:pt>
                <c:pt idx="306">
                  <c:v>34881</c:v>
                </c:pt>
                <c:pt idx="307">
                  <c:v>34912</c:v>
                </c:pt>
                <c:pt idx="308">
                  <c:v>34943</c:v>
                </c:pt>
                <c:pt idx="309">
                  <c:v>34973</c:v>
                </c:pt>
                <c:pt idx="310">
                  <c:v>35004</c:v>
                </c:pt>
                <c:pt idx="311">
                  <c:v>35034</c:v>
                </c:pt>
                <c:pt idx="312">
                  <c:v>35065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35217</c:v>
                </c:pt>
                <c:pt idx="318">
                  <c:v>35247</c:v>
                </c:pt>
                <c:pt idx="319">
                  <c:v>35278</c:v>
                </c:pt>
                <c:pt idx="320">
                  <c:v>35309</c:v>
                </c:pt>
                <c:pt idx="321">
                  <c:v>35339</c:v>
                </c:pt>
                <c:pt idx="322">
                  <c:v>35370</c:v>
                </c:pt>
                <c:pt idx="323">
                  <c:v>35400</c:v>
                </c:pt>
                <c:pt idx="324">
                  <c:v>35431</c:v>
                </c:pt>
                <c:pt idx="325">
                  <c:v>35462</c:v>
                </c:pt>
                <c:pt idx="326">
                  <c:v>35490</c:v>
                </c:pt>
                <c:pt idx="327">
                  <c:v>35521</c:v>
                </c:pt>
                <c:pt idx="328">
                  <c:v>35551</c:v>
                </c:pt>
                <c:pt idx="329">
                  <c:v>35582</c:v>
                </c:pt>
                <c:pt idx="330">
                  <c:v>35612</c:v>
                </c:pt>
                <c:pt idx="331">
                  <c:v>35643</c:v>
                </c:pt>
                <c:pt idx="332">
                  <c:v>35674</c:v>
                </c:pt>
                <c:pt idx="333">
                  <c:v>35704</c:v>
                </c:pt>
                <c:pt idx="334">
                  <c:v>35735</c:v>
                </c:pt>
                <c:pt idx="335">
                  <c:v>35765</c:v>
                </c:pt>
                <c:pt idx="336">
                  <c:v>35796</c:v>
                </c:pt>
                <c:pt idx="337">
                  <c:v>35827</c:v>
                </c:pt>
                <c:pt idx="338">
                  <c:v>35855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36008</c:v>
                </c:pt>
                <c:pt idx="344">
                  <c:v>36039</c:v>
                </c:pt>
                <c:pt idx="345">
                  <c:v>36069</c:v>
                </c:pt>
                <c:pt idx="346">
                  <c:v>36100</c:v>
                </c:pt>
                <c:pt idx="347">
                  <c:v>36130</c:v>
                </c:pt>
                <c:pt idx="348">
                  <c:v>36161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36281</c:v>
                </c:pt>
                <c:pt idx="353">
                  <c:v>36312</c:v>
                </c:pt>
                <c:pt idx="354">
                  <c:v>36342</c:v>
                </c:pt>
                <c:pt idx="355">
                  <c:v>36373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36526</c:v>
                </c:pt>
                <c:pt idx="361">
                  <c:v>36557</c:v>
                </c:pt>
                <c:pt idx="362">
                  <c:v>36586</c:v>
                </c:pt>
                <c:pt idx="363">
                  <c:v>36617</c:v>
                </c:pt>
                <c:pt idx="364">
                  <c:v>36647</c:v>
                </c:pt>
                <c:pt idx="365">
                  <c:v>36678</c:v>
                </c:pt>
                <c:pt idx="366">
                  <c:v>36708</c:v>
                </c:pt>
                <c:pt idx="367">
                  <c:v>36739</c:v>
                </c:pt>
                <c:pt idx="368">
                  <c:v>36770</c:v>
                </c:pt>
                <c:pt idx="369">
                  <c:v>36800</c:v>
                </c:pt>
                <c:pt idx="370">
                  <c:v>36831</c:v>
                </c:pt>
                <c:pt idx="371">
                  <c:v>36861</c:v>
                </c:pt>
                <c:pt idx="372">
                  <c:v>36892</c:v>
                </c:pt>
                <c:pt idx="373">
                  <c:v>36923</c:v>
                </c:pt>
                <c:pt idx="374">
                  <c:v>36951</c:v>
                </c:pt>
                <c:pt idx="375">
                  <c:v>36982</c:v>
                </c:pt>
                <c:pt idx="376">
                  <c:v>37012</c:v>
                </c:pt>
                <c:pt idx="377">
                  <c:v>37043</c:v>
                </c:pt>
                <c:pt idx="378">
                  <c:v>37073</c:v>
                </c:pt>
                <c:pt idx="379">
                  <c:v>37104</c:v>
                </c:pt>
                <c:pt idx="380">
                  <c:v>37135</c:v>
                </c:pt>
                <c:pt idx="381">
                  <c:v>37165</c:v>
                </c:pt>
                <c:pt idx="382">
                  <c:v>37196</c:v>
                </c:pt>
                <c:pt idx="383">
                  <c:v>37226</c:v>
                </c:pt>
                <c:pt idx="384">
                  <c:v>37257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37408</c:v>
                </c:pt>
                <c:pt idx="390">
                  <c:v>37438</c:v>
                </c:pt>
                <c:pt idx="391">
                  <c:v>37469</c:v>
                </c:pt>
                <c:pt idx="392">
                  <c:v>37500</c:v>
                </c:pt>
                <c:pt idx="393">
                  <c:v>37530</c:v>
                </c:pt>
                <c:pt idx="394">
                  <c:v>37561</c:v>
                </c:pt>
                <c:pt idx="395">
                  <c:v>37591</c:v>
                </c:pt>
                <c:pt idx="396">
                  <c:v>37622</c:v>
                </c:pt>
                <c:pt idx="397">
                  <c:v>37653</c:v>
                </c:pt>
                <c:pt idx="398">
                  <c:v>37681</c:v>
                </c:pt>
                <c:pt idx="399">
                  <c:v>37712</c:v>
                </c:pt>
                <c:pt idx="400">
                  <c:v>37742</c:v>
                </c:pt>
                <c:pt idx="401">
                  <c:v>37773</c:v>
                </c:pt>
                <c:pt idx="402">
                  <c:v>37803</c:v>
                </c:pt>
                <c:pt idx="403">
                  <c:v>37834</c:v>
                </c:pt>
                <c:pt idx="404">
                  <c:v>37865</c:v>
                </c:pt>
                <c:pt idx="405">
                  <c:v>37895</c:v>
                </c:pt>
                <c:pt idx="406">
                  <c:v>37926</c:v>
                </c:pt>
                <c:pt idx="407">
                  <c:v>37956</c:v>
                </c:pt>
                <c:pt idx="408">
                  <c:v>37987</c:v>
                </c:pt>
                <c:pt idx="409">
                  <c:v>38018</c:v>
                </c:pt>
                <c:pt idx="410">
                  <c:v>38047</c:v>
                </c:pt>
                <c:pt idx="411">
                  <c:v>38078</c:v>
                </c:pt>
                <c:pt idx="412">
                  <c:v>38108</c:v>
                </c:pt>
                <c:pt idx="413">
                  <c:v>38139</c:v>
                </c:pt>
                <c:pt idx="414">
                  <c:v>38169</c:v>
                </c:pt>
                <c:pt idx="415">
                  <c:v>38200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38353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38473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38626</c:v>
                </c:pt>
                <c:pt idx="430">
                  <c:v>38657</c:v>
                </c:pt>
                <c:pt idx="431">
                  <c:v>38687</c:v>
                </c:pt>
                <c:pt idx="432">
                  <c:v>38718</c:v>
                </c:pt>
                <c:pt idx="433">
                  <c:v>38749</c:v>
                </c:pt>
                <c:pt idx="434">
                  <c:v>38777</c:v>
                </c:pt>
                <c:pt idx="435">
                  <c:v>38808</c:v>
                </c:pt>
                <c:pt idx="436">
                  <c:v>38838</c:v>
                </c:pt>
                <c:pt idx="437">
                  <c:v>38869</c:v>
                </c:pt>
                <c:pt idx="438">
                  <c:v>38899</c:v>
                </c:pt>
                <c:pt idx="439">
                  <c:v>38930</c:v>
                </c:pt>
                <c:pt idx="440">
                  <c:v>38961</c:v>
                </c:pt>
                <c:pt idx="441">
                  <c:v>38991</c:v>
                </c:pt>
                <c:pt idx="442">
                  <c:v>39022</c:v>
                </c:pt>
                <c:pt idx="443">
                  <c:v>39052</c:v>
                </c:pt>
                <c:pt idx="444">
                  <c:v>39083</c:v>
                </c:pt>
                <c:pt idx="445">
                  <c:v>39114</c:v>
                </c:pt>
                <c:pt idx="446">
                  <c:v>39142</c:v>
                </c:pt>
                <c:pt idx="447">
                  <c:v>39173</c:v>
                </c:pt>
                <c:pt idx="448">
                  <c:v>39203</c:v>
                </c:pt>
                <c:pt idx="449">
                  <c:v>39234</c:v>
                </c:pt>
                <c:pt idx="450">
                  <c:v>39264</c:v>
                </c:pt>
                <c:pt idx="451">
                  <c:v>39295</c:v>
                </c:pt>
                <c:pt idx="452">
                  <c:v>39326</c:v>
                </c:pt>
                <c:pt idx="453">
                  <c:v>39356</c:v>
                </c:pt>
                <c:pt idx="454">
                  <c:v>39387</c:v>
                </c:pt>
                <c:pt idx="455">
                  <c:v>39417</c:v>
                </c:pt>
                <c:pt idx="456">
                  <c:v>39448</c:v>
                </c:pt>
                <c:pt idx="457">
                  <c:v>39479</c:v>
                </c:pt>
                <c:pt idx="458">
                  <c:v>39508</c:v>
                </c:pt>
                <c:pt idx="459">
                  <c:v>39539</c:v>
                </c:pt>
                <c:pt idx="460">
                  <c:v>39569</c:v>
                </c:pt>
                <c:pt idx="461">
                  <c:v>39600</c:v>
                </c:pt>
                <c:pt idx="462">
                  <c:v>39630</c:v>
                </c:pt>
                <c:pt idx="463">
                  <c:v>39661</c:v>
                </c:pt>
                <c:pt idx="464">
                  <c:v>39692</c:v>
                </c:pt>
                <c:pt idx="465">
                  <c:v>39722</c:v>
                </c:pt>
                <c:pt idx="466">
                  <c:v>39753</c:v>
                </c:pt>
                <c:pt idx="467">
                  <c:v>39783</c:v>
                </c:pt>
                <c:pt idx="468">
                  <c:v>39814</c:v>
                </c:pt>
                <c:pt idx="469">
                  <c:v>39845</c:v>
                </c:pt>
                <c:pt idx="470">
                  <c:v>39873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40026</c:v>
                </c:pt>
                <c:pt idx="476">
                  <c:v>40057</c:v>
                </c:pt>
                <c:pt idx="477">
                  <c:v>40087</c:v>
                </c:pt>
                <c:pt idx="478">
                  <c:v>40118</c:v>
                </c:pt>
                <c:pt idx="479">
                  <c:v>40148</c:v>
                </c:pt>
                <c:pt idx="480">
                  <c:v>40179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40299</c:v>
                </c:pt>
                <c:pt idx="485">
                  <c:v>40330</c:v>
                </c:pt>
                <c:pt idx="486">
                  <c:v>40360</c:v>
                </c:pt>
                <c:pt idx="487">
                  <c:v>40391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40544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40664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40817</c:v>
                </c:pt>
                <c:pt idx="502">
                  <c:v>40848</c:v>
                </c:pt>
                <c:pt idx="503">
                  <c:v>40878</c:v>
                </c:pt>
                <c:pt idx="504">
                  <c:v>40909</c:v>
                </c:pt>
                <c:pt idx="505">
                  <c:v>40940</c:v>
                </c:pt>
                <c:pt idx="506">
                  <c:v>40969</c:v>
                </c:pt>
                <c:pt idx="507">
                  <c:v>41000</c:v>
                </c:pt>
                <c:pt idx="508">
                  <c:v>41030</c:v>
                </c:pt>
                <c:pt idx="509">
                  <c:v>41061</c:v>
                </c:pt>
                <c:pt idx="510">
                  <c:v>41091</c:v>
                </c:pt>
                <c:pt idx="511">
                  <c:v>41122</c:v>
                </c:pt>
                <c:pt idx="512">
                  <c:v>41153</c:v>
                </c:pt>
                <c:pt idx="513">
                  <c:v>41183</c:v>
                </c:pt>
                <c:pt idx="514">
                  <c:v>41214</c:v>
                </c:pt>
                <c:pt idx="515">
                  <c:v>41244</c:v>
                </c:pt>
                <c:pt idx="516">
                  <c:v>41275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41426</c:v>
                </c:pt>
                <c:pt idx="522">
                  <c:v>41456</c:v>
                </c:pt>
                <c:pt idx="523">
                  <c:v>41487</c:v>
                </c:pt>
                <c:pt idx="524">
                  <c:v>41518</c:v>
                </c:pt>
                <c:pt idx="525">
                  <c:v>41548</c:v>
                </c:pt>
                <c:pt idx="526">
                  <c:v>41579</c:v>
                </c:pt>
                <c:pt idx="527">
                  <c:v>41609</c:v>
                </c:pt>
                <c:pt idx="528">
                  <c:v>41640</c:v>
                </c:pt>
                <c:pt idx="529">
                  <c:v>41671</c:v>
                </c:pt>
                <c:pt idx="530">
                  <c:v>41699</c:v>
                </c:pt>
                <c:pt idx="531">
                  <c:v>41730</c:v>
                </c:pt>
                <c:pt idx="532">
                  <c:v>41760</c:v>
                </c:pt>
                <c:pt idx="533">
                  <c:v>41791</c:v>
                </c:pt>
                <c:pt idx="534">
                  <c:v>41821</c:v>
                </c:pt>
                <c:pt idx="535">
                  <c:v>41852</c:v>
                </c:pt>
                <c:pt idx="536">
                  <c:v>41883</c:v>
                </c:pt>
                <c:pt idx="537">
                  <c:v>41913</c:v>
                </c:pt>
                <c:pt idx="538">
                  <c:v>41944</c:v>
                </c:pt>
                <c:pt idx="539">
                  <c:v>41974</c:v>
                </c:pt>
                <c:pt idx="540">
                  <c:v>42005</c:v>
                </c:pt>
                <c:pt idx="541">
                  <c:v>42036</c:v>
                </c:pt>
                <c:pt idx="542">
                  <c:v>42064</c:v>
                </c:pt>
                <c:pt idx="543">
                  <c:v>42095</c:v>
                </c:pt>
                <c:pt idx="544">
                  <c:v>42125</c:v>
                </c:pt>
                <c:pt idx="545">
                  <c:v>42156</c:v>
                </c:pt>
                <c:pt idx="546">
                  <c:v>42186</c:v>
                </c:pt>
                <c:pt idx="547">
                  <c:v>42217</c:v>
                </c:pt>
                <c:pt idx="548">
                  <c:v>42248</c:v>
                </c:pt>
                <c:pt idx="549">
                  <c:v>42278</c:v>
                </c:pt>
                <c:pt idx="550">
                  <c:v>42309</c:v>
                </c:pt>
                <c:pt idx="551">
                  <c:v>42339</c:v>
                </c:pt>
                <c:pt idx="552">
                  <c:v>42370</c:v>
                </c:pt>
                <c:pt idx="553">
                  <c:v>42401</c:v>
                </c:pt>
                <c:pt idx="554">
                  <c:v>42430</c:v>
                </c:pt>
                <c:pt idx="555">
                  <c:v>42461</c:v>
                </c:pt>
                <c:pt idx="556">
                  <c:v>42491</c:v>
                </c:pt>
                <c:pt idx="557">
                  <c:v>42522</c:v>
                </c:pt>
                <c:pt idx="558">
                  <c:v>42552</c:v>
                </c:pt>
                <c:pt idx="559">
                  <c:v>42583</c:v>
                </c:pt>
                <c:pt idx="560">
                  <c:v>42614</c:v>
                </c:pt>
                <c:pt idx="561">
                  <c:v>42644</c:v>
                </c:pt>
                <c:pt idx="562">
                  <c:v>42675</c:v>
                </c:pt>
                <c:pt idx="563">
                  <c:v>42705</c:v>
                </c:pt>
                <c:pt idx="564">
                  <c:v>42736</c:v>
                </c:pt>
                <c:pt idx="565">
                  <c:v>42767</c:v>
                </c:pt>
                <c:pt idx="566">
                  <c:v>42795</c:v>
                </c:pt>
                <c:pt idx="567">
                  <c:v>42826</c:v>
                </c:pt>
                <c:pt idx="568">
                  <c:v>42856</c:v>
                </c:pt>
                <c:pt idx="569">
                  <c:v>42887</c:v>
                </c:pt>
                <c:pt idx="570">
                  <c:v>42917</c:v>
                </c:pt>
                <c:pt idx="571">
                  <c:v>42948</c:v>
                </c:pt>
                <c:pt idx="572">
                  <c:v>42979</c:v>
                </c:pt>
                <c:pt idx="573">
                  <c:v>43009</c:v>
                </c:pt>
                <c:pt idx="574">
                  <c:v>43040</c:v>
                </c:pt>
                <c:pt idx="575">
                  <c:v>43070</c:v>
                </c:pt>
                <c:pt idx="576">
                  <c:v>43101</c:v>
                </c:pt>
                <c:pt idx="577">
                  <c:v>43132</c:v>
                </c:pt>
                <c:pt idx="578">
                  <c:v>43160</c:v>
                </c:pt>
                <c:pt idx="579">
                  <c:v>43191</c:v>
                </c:pt>
                <c:pt idx="580">
                  <c:v>43221</c:v>
                </c:pt>
                <c:pt idx="581">
                  <c:v>43252</c:v>
                </c:pt>
                <c:pt idx="582">
                  <c:v>43282</c:v>
                </c:pt>
                <c:pt idx="583">
                  <c:v>43313</c:v>
                </c:pt>
                <c:pt idx="584">
                  <c:v>43344</c:v>
                </c:pt>
                <c:pt idx="585">
                  <c:v>43374</c:v>
                </c:pt>
                <c:pt idx="586">
                  <c:v>43405</c:v>
                </c:pt>
                <c:pt idx="587">
                  <c:v>43435</c:v>
                </c:pt>
                <c:pt idx="588">
                  <c:v>43466</c:v>
                </c:pt>
                <c:pt idx="589">
                  <c:v>43497</c:v>
                </c:pt>
                <c:pt idx="590">
                  <c:v>43525</c:v>
                </c:pt>
                <c:pt idx="591">
                  <c:v>43556</c:v>
                </c:pt>
                <c:pt idx="592">
                  <c:v>43586</c:v>
                </c:pt>
                <c:pt idx="593">
                  <c:v>43617</c:v>
                </c:pt>
                <c:pt idx="594">
                  <c:v>43647</c:v>
                </c:pt>
                <c:pt idx="595">
                  <c:v>43678</c:v>
                </c:pt>
                <c:pt idx="596">
                  <c:v>43709</c:v>
                </c:pt>
                <c:pt idx="597">
                  <c:v>43739</c:v>
                </c:pt>
                <c:pt idx="598">
                  <c:v>43770</c:v>
                </c:pt>
                <c:pt idx="599">
                  <c:v>43800</c:v>
                </c:pt>
                <c:pt idx="600">
                  <c:v>43831</c:v>
                </c:pt>
                <c:pt idx="601">
                  <c:v>43862</c:v>
                </c:pt>
                <c:pt idx="602">
                  <c:v>43891</c:v>
                </c:pt>
                <c:pt idx="603">
                  <c:v>43922</c:v>
                </c:pt>
                <c:pt idx="604">
                  <c:v>43952</c:v>
                </c:pt>
                <c:pt idx="605">
                  <c:v>43983</c:v>
                </c:pt>
                <c:pt idx="606">
                  <c:v>44013</c:v>
                </c:pt>
                <c:pt idx="607">
                  <c:v>44044</c:v>
                </c:pt>
                <c:pt idx="608">
                  <c:v>44075</c:v>
                </c:pt>
                <c:pt idx="609">
                  <c:v>44105</c:v>
                </c:pt>
                <c:pt idx="610">
                  <c:v>44136</c:v>
                </c:pt>
                <c:pt idx="611">
                  <c:v>44166</c:v>
                </c:pt>
                <c:pt idx="612">
                  <c:v>44197</c:v>
                </c:pt>
                <c:pt idx="613">
                  <c:v>44228</c:v>
                </c:pt>
                <c:pt idx="614">
                  <c:v>44256</c:v>
                </c:pt>
                <c:pt idx="615">
                  <c:v>44287</c:v>
                </c:pt>
                <c:pt idx="616">
                  <c:v>44317</c:v>
                </c:pt>
                <c:pt idx="617">
                  <c:v>44348</c:v>
                </c:pt>
                <c:pt idx="618">
                  <c:v>44378</c:v>
                </c:pt>
                <c:pt idx="619">
                  <c:v>44409</c:v>
                </c:pt>
                <c:pt idx="620">
                  <c:v>44440</c:v>
                </c:pt>
                <c:pt idx="621">
                  <c:v>44470</c:v>
                </c:pt>
                <c:pt idx="622">
                  <c:v>44501</c:v>
                </c:pt>
                <c:pt idx="623">
                  <c:v>44531</c:v>
                </c:pt>
                <c:pt idx="624">
                  <c:v>44562</c:v>
                </c:pt>
                <c:pt idx="625">
                  <c:v>44593</c:v>
                </c:pt>
                <c:pt idx="626">
                  <c:v>44621</c:v>
                </c:pt>
                <c:pt idx="627">
                  <c:v>44652</c:v>
                </c:pt>
                <c:pt idx="628">
                  <c:v>44682</c:v>
                </c:pt>
                <c:pt idx="629">
                  <c:v>44713</c:v>
                </c:pt>
                <c:pt idx="630">
                  <c:v>44743</c:v>
                </c:pt>
                <c:pt idx="631">
                  <c:v>44774</c:v>
                </c:pt>
                <c:pt idx="632">
                  <c:v>44805</c:v>
                </c:pt>
                <c:pt idx="633">
                  <c:v>44835</c:v>
                </c:pt>
                <c:pt idx="634">
                  <c:v>44866</c:v>
                </c:pt>
                <c:pt idx="635">
                  <c:v>44896</c:v>
                </c:pt>
                <c:pt idx="636">
                  <c:v>44927</c:v>
                </c:pt>
                <c:pt idx="637">
                  <c:v>44958</c:v>
                </c:pt>
                <c:pt idx="638">
                  <c:v>44986</c:v>
                </c:pt>
                <c:pt idx="639">
                  <c:v>45017</c:v>
                </c:pt>
                <c:pt idx="640">
                  <c:v>45047</c:v>
                </c:pt>
                <c:pt idx="641">
                  <c:v>45078</c:v>
                </c:pt>
                <c:pt idx="642">
                  <c:v>45108</c:v>
                </c:pt>
                <c:pt idx="643">
                  <c:v>45139</c:v>
                </c:pt>
                <c:pt idx="644">
                  <c:v>45170</c:v>
                </c:pt>
                <c:pt idx="645">
                  <c:v>45200</c:v>
                </c:pt>
                <c:pt idx="646">
                  <c:v>45231</c:v>
                </c:pt>
                <c:pt idx="647">
                  <c:v>45261</c:v>
                </c:pt>
                <c:pt idx="648">
                  <c:v>45292</c:v>
                </c:pt>
                <c:pt idx="649">
                  <c:v>45323</c:v>
                </c:pt>
                <c:pt idx="650">
                  <c:v>45352</c:v>
                </c:pt>
                <c:pt idx="651">
                  <c:v>45383</c:v>
                </c:pt>
                <c:pt idx="652">
                  <c:v>45413</c:v>
                </c:pt>
                <c:pt idx="653">
                  <c:v>45444</c:v>
                </c:pt>
                <c:pt idx="654">
                  <c:v>45474</c:v>
                </c:pt>
                <c:pt idx="655">
                  <c:v>45505</c:v>
                </c:pt>
                <c:pt idx="656">
                  <c:v>45536</c:v>
                </c:pt>
                <c:pt idx="657">
                  <c:v>45566</c:v>
                </c:pt>
                <c:pt idx="658">
                  <c:v>45597</c:v>
                </c:pt>
                <c:pt idx="659">
                  <c:v>45627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660"/>
                <c:pt idx="0">
                  <c:v>0.924602</c:v>
                </c:pt>
                <c:pt idx="1">
                  <c:v>0.979635235642</c:v>
                </c:pt>
                <c:pt idx="2">
                  <c:v>0.982384092113212</c:v>
                </c:pt>
                <c:pt idx="3">
                  <c:v>0.895117930826703</c:v>
                </c:pt>
                <c:pt idx="4">
                  <c:v>0.846164826307721</c:v>
                </c:pt>
                <c:pt idx="5">
                  <c:v>0.804675672544201</c:v>
                </c:pt>
                <c:pt idx="6">
                  <c:v>0.865447193361757</c:v>
                </c:pt>
                <c:pt idx="7">
                  <c:v>0.908528289200112</c:v>
                </c:pt>
                <c:pt idx="8">
                  <c:v>0.940056037891934</c:v>
                </c:pt>
                <c:pt idx="9">
                  <c:v>0.931565451757694</c:v>
                </c:pt>
                <c:pt idx="10">
                  <c:v>0.98223050198244</c:v>
                </c:pt>
                <c:pt idx="11">
                  <c:v>1.03987171676078</c:v>
                </c:pt>
                <c:pt idx="12">
                  <c:v>1.08440734264621</c:v>
                </c:pt>
                <c:pt idx="13">
                  <c:v>1.09884839522823</c:v>
                </c:pt>
                <c:pt idx="14">
                  <c:v>1.141778204333</c:v>
                </c:pt>
                <c:pt idx="15">
                  <c:v>1.18398403565617</c:v>
                </c:pt>
                <c:pt idx="16">
                  <c:v>1.13999902873155</c:v>
                </c:pt>
                <c:pt idx="17">
                  <c:v>1.14277948636262</c:v>
                </c:pt>
                <c:pt idx="18">
                  <c:v>1.0961232282729</c:v>
                </c:pt>
                <c:pt idx="19">
                  <c:v>1.14219986429658</c:v>
                </c:pt>
                <c:pt idx="20">
                  <c:v>1.13644546138025</c:v>
                </c:pt>
                <c:pt idx="21">
                  <c:v>1.09084104146052</c:v>
                </c:pt>
                <c:pt idx="22">
                  <c:v>1.09400338963972</c:v>
                </c:pt>
                <c:pt idx="23">
                  <c:v>1.19014440752125</c:v>
                </c:pt>
                <c:pt idx="24">
                  <c:v>1.21286188397202</c:v>
                </c:pt>
                <c:pt idx="25">
                  <c:v>1.24951578296754</c:v>
                </c:pt>
                <c:pt idx="26">
                  <c:v>1.25865599091995</c:v>
                </c:pt>
                <c:pt idx="27">
                  <c:v>1.26554839112622</c:v>
                </c:pt>
                <c:pt idx="28">
                  <c:v>1.29341450115043</c:v>
                </c:pt>
                <c:pt idx="29">
                  <c:v>1.26734443846524</c:v>
                </c:pt>
                <c:pt idx="30">
                  <c:v>1.27145697116806</c:v>
                </c:pt>
                <c:pt idx="31">
                  <c:v>1.32158416225636</c:v>
                </c:pt>
                <c:pt idx="32">
                  <c:v>1.31725333095665</c:v>
                </c:pt>
                <c:pt idx="33">
                  <c:v>1.3315824126908</c:v>
                </c:pt>
                <c:pt idx="34">
                  <c:v>1.39855701330191</c:v>
                </c:pt>
                <c:pt idx="35">
                  <c:v>1.41766549777465</c:v>
                </c:pt>
                <c:pt idx="36">
                  <c:v>1.39391676535593</c:v>
                </c:pt>
                <c:pt idx="37">
                  <c:v>1.34677728818512</c:v>
                </c:pt>
                <c:pt idx="38">
                  <c:v>1.34530526060914</c:v>
                </c:pt>
                <c:pt idx="39">
                  <c:v>1.29140695064809</c:v>
                </c:pt>
                <c:pt idx="40">
                  <c:v>1.27339182368655</c:v>
                </c:pt>
                <c:pt idx="41">
                  <c:v>1.2667982008235</c:v>
                </c:pt>
                <c:pt idx="42">
                  <c:v>1.31636548082532</c:v>
                </c:pt>
                <c:pt idx="43">
                  <c:v>1.27484204809817</c:v>
                </c:pt>
                <c:pt idx="44">
                  <c:v>1.32866460452683</c:v>
                </c:pt>
                <c:pt idx="45">
                  <c:v>1.32907914788344</c:v>
                </c:pt>
                <c:pt idx="46">
                  <c:v>1.18657528164738</c:v>
                </c:pt>
                <c:pt idx="47">
                  <c:v>1.20789922603386</c:v>
                </c:pt>
                <c:pt idx="48">
                  <c:v>1.19809108431847</c:v>
                </c:pt>
                <c:pt idx="49">
                  <c:v>1.20047768175843</c:v>
                </c:pt>
                <c:pt idx="50">
                  <c:v>1.17428565969782</c:v>
                </c:pt>
                <c:pt idx="51">
                  <c:v>1.13007497889586</c:v>
                </c:pt>
                <c:pt idx="52">
                  <c:v>1.09968048226348</c:v>
                </c:pt>
                <c:pt idx="53">
                  <c:v>1.08558697720279</c:v>
                </c:pt>
                <c:pt idx="54">
                  <c:v>1.00232462722529</c:v>
                </c:pt>
                <c:pt idx="55">
                  <c:v>0.919955594009169</c:v>
                </c:pt>
                <c:pt idx="56">
                  <c:v>0.811850692201557</c:v>
                </c:pt>
                <c:pt idx="57">
                  <c:v>0.948333347619637</c:v>
                </c:pt>
                <c:pt idx="58">
                  <c:v>0.905005893633591</c:v>
                </c:pt>
                <c:pt idx="59">
                  <c:v>0.888695877418527</c:v>
                </c:pt>
                <c:pt idx="60">
                  <c:v>0.998547574826231</c:v>
                </c:pt>
                <c:pt idx="61">
                  <c:v>1.06590959422401</c:v>
                </c:pt>
                <c:pt idx="62">
                  <c:v>1.0915063472197</c:v>
                </c:pt>
                <c:pt idx="63">
                  <c:v>1.14545295692469</c:v>
                </c:pt>
                <c:pt idx="64">
                  <c:v>1.20409213014854</c:v>
                </c:pt>
                <c:pt idx="65">
                  <c:v>1.259745268404</c:v>
                </c:pt>
                <c:pt idx="66">
                  <c:v>1.17722691434247</c:v>
                </c:pt>
                <c:pt idx="67">
                  <c:v>1.15878800918312</c:v>
                </c:pt>
                <c:pt idx="68">
                  <c:v>1.12141709588696</c:v>
                </c:pt>
                <c:pt idx="69">
                  <c:v>1.19414660164071</c:v>
                </c:pt>
                <c:pt idx="70">
                  <c:v>1.23007727873748</c:v>
                </c:pt>
                <c:pt idx="71">
                  <c:v>1.21717991846992</c:v>
                </c:pt>
                <c:pt idx="72">
                  <c:v>1.36341556541465</c:v>
                </c:pt>
                <c:pt idx="73">
                  <c:v>1.35556638200456</c:v>
                </c:pt>
                <c:pt idx="74">
                  <c:v>1.39981206871319</c:v>
                </c:pt>
                <c:pt idx="75">
                  <c:v>1.38635987473285</c:v>
                </c:pt>
                <c:pt idx="76">
                  <c:v>1.37510817798952</c:v>
                </c:pt>
                <c:pt idx="77">
                  <c:v>1.43555655838576</c:v>
                </c:pt>
                <c:pt idx="78">
                  <c:v>1.42521768005227</c:v>
                </c:pt>
                <c:pt idx="79">
                  <c:v>1.42749660312267</c:v>
                </c:pt>
                <c:pt idx="80">
                  <c:v>1.46235749766753</c:v>
                </c:pt>
                <c:pt idx="81">
                  <c:v>1.43280179028217</c:v>
                </c:pt>
                <c:pt idx="82">
                  <c:v>1.43131024361849</c:v>
                </c:pt>
                <c:pt idx="83">
                  <c:v>1.50827895196907</c:v>
                </c:pt>
                <c:pt idx="84">
                  <c:v>1.433386868888</c:v>
                </c:pt>
                <c:pt idx="85">
                  <c:v>1.41097013164546</c:v>
                </c:pt>
                <c:pt idx="86">
                  <c:v>1.39333018305963</c:v>
                </c:pt>
                <c:pt idx="87">
                  <c:v>1.39422330770697</c:v>
                </c:pt>
                <c:pt idx="88">
                  <c:v>1.37322072779967</c:v>
                </c:pt>
                <c:pt idx="89">
                  <c:v>1.43882772129103</c:v>
                </c:pt>
                <c:pt idx="90">
                  <c:v>1.4165920776862</c:v>
                </c:pt>
                <c:pt idx="91">
                  <c:v>1.39915382920988</c:v>
                </c:pt>
                <c:pt idx="92">
                  <c:v>1.39799952730078</c:v>
                </c:pt>
                <c:pt idx="93">
                  <c:v>1.33930451714706</c:v>
                </c:pt>
                <c:pt idx="94">
                  <c:v>1.38852663676125</c:v>
                </c:pt>
                <c:pt idx="95">
                  <c:v>1.39626073012801</c:v>
                </c:pt>
                <c:pt idx="96">
                  <c:v>1.31158729067086</c:v>
                </c:pt>
                <c:pt idx="97">
                  <c:v>1.29026088132455</c:v>
                </c:pt>
                <c:pt idx="98">
                  <c:v>1.32500115555421</c:v>
                </c:pt>
                <c:pt idx="99">
                  <c:v>1.44287855835694</c:v>
                </c:pt>
                <c:pt idx="100">
                  <c:v>1.46267340929903</c:v>
                </c:pt>
                <c:pt idx="101">
                  <c:v>1.43842520951967</c:v>
                </c:pt>
                <c:pt idx="102">
                  <c:v>1.52037948583206</c:v>
                </c:pt>
                <c:pt idx="103">
                  <c:v>1.57152657211493</c:v>
                </c:pt>
                <c:pt idx="104">
                  <c:v>1.56341278042311</c:v>
                </c:pt>
                <c:pt idx="105">
                  <c:v>1.42337789768061</c:v>
                </c:pt>
                <c:pt idx="106">
                  <c:v>1.46148314737942</c:v>
                </c:pt>
                <c:pt idx="107">
                  <c:v>1.48578322767089</c:v>
                </c:pt>
                <c:pt idx="108">
                  <c:v>1.54922171414276</c:v>
                </c:pt>
                <c:pt idx="109">
                  <c:v>1.50483806125428</c:v>
                </c:pt>
                <c:pt idx="110">
                  <c:v>1.59115707728589</c:v>
                </c:pt>
                <c:pt idx="111">
                  <c:v>1.59781288734017</c:v>
                </c:pt>
                <c:pt idx="112">
                  <c:v>1.57094087020089</c:v>
                </c:pt>
                <c:pt idx="113">
                  <c:v>1.63428748985087</c:v>
                </c:pt>
                <c:pt idx="114">
                  <c:v>1.65398228839106</c:v>
                </c:pt>
                <c:pt idx="115">
                  <c:v>1.75630590266237</c:v>
                </c:pt>
                <c:pt idx="116">
                  <c:v>1.75879283182054</c:v>
                </c:pt>
                <c:pt idx="117">
                  <c:v>1.64348637376639</c:v>
                </c:pt>
                <c:pt idx="118">
                  <c:v>1.73022465411466</c:v>
                </c:pt>
                <c:pt idx="119">
                  <c:v>1.76195870449578</c:v>
                </c:pt>
                <c:pt idx="120">
                  <c:v>1.869980868751</c:v>
                </c:pt>
                <c:pt idx="121">
                  <c:v>1.87486338879931</c:v>
                </c:pt>
                <c:pt idx="122">
                  <c:v>1.69203046085038</c:v>
                </c:pt>
                <c:pt idx="123">
                  <c:v>1.76376240020767</c:v>
                </c:pt>
                <c:pt idx="124">
                  <c:v>1.86175703916321</c:v>
                </c:pt>
                <c:pt idx="125">
                  <c:v>1.91709218188122</c:v>
                </c:pt>
                <c:pt idx="126">
                  <c:v>2.04783786868552</c:v>
                </c:pt>
                <c:pt idx="127">
                  <c:v>2.07538947937081</c:v>
                </c:pt>
                <c:pt idx="128">
                  <c:v>2.13336548447704</c:v>
                </c:pt>
                <c:pt idx="129">
                  <c:v>2.17135859039009</c:v>
                </c:pt>
                <c:pt idx="130">
                  <c:v>2.41001261305986</c:v>
                </c:pt>
                <c:pt idx="131">
                  <c:v>2.33618428667139</c:v>
                </c:pt>
                <c:pt idx="132">
                  <c:v>2.23486397415845</c:v>
                </c:pt>
                <c:pt idx="133">
                  <c:v>2.28239282629688</c:v>
                </c:pt>
                <c:pt idx="134">
                  <c:v>2.36977423565165</c:v>
                </c:pt>
                <c:pt idx="135">
                  <c:v>2.3218787285749</c:v>
                </c:pt>
                <c:pt idx="136">
                  <c:v>2.33706149358105</c:v>
                </c:pt>
                <c:pt idx="137">
                  <c:v>2.31776905095154</c:v>
                </c:pt>
                <c:pt idx="138">
                  <c:v>2.31942393805392</c:v>
                </c:pt>
                <c:pt idx="139">
                  <c:v>2.1906031325344</c:v>
                </c:pt>
                <c:pt idx="140">
                  <c:v>2.08005215484792</c:v>
                </c:pt>
                <c:pt idx="141">
                  <c:v>2.18845407289782</c:v>
                </c:pt>
                <c:pt idx="142">
                  <c:v>2.28436744955071</c:v>
                </c:pt>
                <c:pt idx="143">
                  <c:v>2.22255475073332</c:v>
                </c:pt>
                <c:pt idx="144">
                  <c:v>2.1884007518788</c:v>
                </c:pt>
                <c:pt idx="145">
                  <c:v>2.07801562955328</c:v>
                </c:pt>
                <c:pt idx="146">
                  <c:v>2.06387473319417</c:v>
                </c:pt>
                <c:pt idx="147">
                  <c:v>2.14962872835839</c:v>
                </c:pt>
                <c:pt idx="148">
                  <c:v>2.08620393272818</c:v>
                </c:pt>
                <c:pt idx="149">
                  <c:v>2.05328363466972</c:v>
                </c:pt>
                <c:pt idx="150">
                  <c:v>2.01180935853303</c:v>
                </c:pt>
                <c:pt idx="151">
                  <c:v>2.26811789442886</c:v>
                </c:pt>
                <c:pt idx="152">
                  <c:v>2.29192405984878</c:v>
                </c:pt>
                <c:pt idx="153">
                  <c:v>2.55288940907534</c:v>
                </c:pt>
                <c:pt idx="154">
                  <c:v>2.66969431109818</c:v>
                </c:pt>
                <c:pt idx="155">
                  <c:v>2.71463861482552</c:v>
                </c:pt>
                <c:pt idx="156">
                  <c:v>2.81044635545855</c:v>
                </c:pt>
                <c:pt idx="157">
                  <c:v>2.88276757152357</c:v>
                </c:pt>
                <c:pt idx="158">
                  <c:v>2.98501933728551</c:v>
                </c:pt>
                <c:pt idx="159">
                  <c:v>3.21104201648543</c:v>
                </c:pt>
                <c:pt idx="160">
                  <c:v>3.19278082053768</c:v>
                </c:pt>
                <c:pt idx="161">
                  <c:v>3.31081792747295</c:v>
                </c:pt>
                <c:pt idx="162">
                  <c:v>3.20739459705455</c:v>
                </c:pt>
                <c:pt idx="163">
                  <c:v>3.25827670494223</c:v>
                </c:pt>
                <c:pt idx="164">
                  <c:v>3.30423469786544</c:v>
                </c:pt>
                <c:pt idx="165">
                  <c:v>3.26092278944582</c:v>
                </c:pt>
                <c:pt idx="166">
                  <c:v>3.33868275428294</c:v>
                </c:pt>
                <c:pt idx="167">
                  <c:v>3.31948866712857</c:v>
                </c:pt>
                <c:pt idx="168">
                  <c:v>3.3065493003041</c:v>
                </c:pt>
                <c:pt idx="169">
                  <c:v>3.19401420141755</c:v>
                </c:pt>
                <c:pt idx="170">
                  <c:v>3.24925467703107</c:v>
                </c:pt>
                <c:pt idx="171">
                  <c:v>3.27128787299602</c:v>
                </c:pt>
                <c:pt idx="172">
                  <c:v>3.09748107701587</c:v>
                </c:pt>
                <c:pt idx="173">
                  <c:v>3.16852800047938</c:v>
                </c:pt>
                <c:pt idx="174">
                  <c:v>3.12491321255278</c:v>
                </c:pt>
                <c:pt idx="175">
                  <c:v>3.47627220434579</c:v>
                </c:pt>
                <c:pt idx="176">
                  <c:v>3.47604972292471</c:v>
                </c:pt>
                <c:pt idx="177">
                  <c:v>3.48762844455177</c:v>
                </c:pt>
                <c:pt idx="178">
                  <c:v>3.45330669302894</c:v>
                </c:pt>
                <c:pt idx="179">
                  <c:v>3.54155939887599</c:v>
                </c:pt>
                <c:pt idx="180">
                  <c:v>3.81379198674879</c:v>
                </c:pt>
                <c:pt idx="181">
                  <c:v>3.86781816403307</c:v>
                </c:pt>
                <c:pt idx="182">
                  <c:v>3.86535823168074</c:v>
                </c:pt>
                <c:pt idx="183">
                  <c:v>3.8510409447906</c:v>
                </c:pt>
                <c:pt idx="184">
                  <c:v>4.09265525366676</c:v>
                </c:pt>
                <c:pt idx="185">
                  <c:v>4.15840376031692</c:v>
                </c:pt>
                <c:pt idx="186">
                  <c:v>4.14459370142891</c:v>
                </c:pt>
                <c:pt idx="187">
                  <c:v>4.11776574639956</c:v>
                </c:pt>
                <c:pt idx="188">
                  <c:v>3.98085827086326</c:v>
                </c:pt>
                <c:pt idx="189">
                  <c:v>4.16031138085551</c:v>
                </c:pt>
                <c:pt idx="190">
                  <c:v>4.45938368509107</c:v>
                </c:pt>
                <c:pt idx="191">
                  <c:v>4.67412976583032</c:v>
                </c:pt>
                <c:pt idx="192">
                  <c:v>4.69612622050831</c:v>
                </c:pt>
                <c:pt idx="193">
                  <c:v>5.05549727953271</c:v>
                </c:pt>
                <c:pt idx="194">
                  <c:v>5.33775580364358</c:v>
                </c:pt>
                <c:pt idx="195">
                  <c:v>5.26650743917655</c:v>
                </c:pt>
                <c:pt idx="196">
                  <c:v>5.55788749626387</c:v>
                </c:pt>
                <c:pt idx="197">
                  <c:v>5.64539087700505</c:v>
                </c:pt>
                <c:pt idx="198">
                  <c:v>5.32054379516042</c:v>
                </c:pt>
                <c:pt idx="199">
                  <c:v>5.71648270276488</c:v>
                </c:pt>
                <c:pt idx="200">
                  <c:v>5.24062553313862</c:v>
                </c:pt>
                <c:pt idx="201">
                  <c:v>5.53692001953121</c:v>
                </c:pt>
                <c:pt idx="202">
                  <c:v>5.67465644193707</c:v>
                </c:pt>
                <c:pt idx="203">
                  <c:v>5.51852961925005</c:v>
                </c:pt>
                <c:pt idx="204">
                  <c:v>6.26454100876913</c:v>
                </c:pt>
                <c:pt idx="205">
                  <c:v>6.52626100303349</c:v>
                </c:pt>
                <c:pt idx="206">
                  <c:v>6.69813661280938</c:v>
                </c:pt>
                <c:pt idx="207">
                  <c:v>6.63755196714652</c:v>
                </c:pt>
                <c:pt idx="208">
                  <c:v>6.69813954150263</c:v>
                </c:pt>
                <c:pt idx="209">
                  <c:v>7.03398425811358</c:v>
                </c:pt>
                <c:pt idx="210">
                  <c:v>7.38457913549073</c:v>
                </c:pt>
                <c:pt idx="211">
                  <c:v>7.6733752563215</c:v>
                </c:pt>
                <c:pt idx="212">
                  <c:v>7.50502140319781</c:v>
                </c:pt>
                <c:pt idx="213">
                  <c:v>5.88547530949474</c:v>
                </c:pt>
                <c:pt idx="214">
                  <c:v>5.40360790400517</c:v>
                </c:pt>
                <c:pt idx="215">
                  <c:v>5.80305340748504</c:v>
                </c:pt>
                <c:pt idx="216">
                  <c:v>6.05091922767894</c:v>
                </c:pt>
                <c:pt idx="217">
                  <c:v>6.33800509043617</c:v>
                </c:pt>
                <c:pt idx="218">
                  <c:v>6.14249664741149</c:v>
                </c:pt>
                <c:pt idx="219">
                  <c:v>6.20709114215567</c:v>
                </c:pt>
                <c:pt idx="220">
                  <c:v>6.25682235638662</c:v>
                </c:pt>
                <c:pt idx="221">
                  <c:v>6.55512261904971</c:v>
                </c:pt>
                <c:pt idx="222">
                  <c:v>6.52589988241398</c:v>
                </c:pt>
                <c:pt idx="223">
                  <c:v>6.31388644703412</c:v>
                </c:pt>
                <c:pt idx="224">
                  <c:v>6.58373563989391</c:v>
                </c:pt>
                <c:pt idx="225">
                  <c:v>6.7607788749863</c:v>
                </c:pt>
                <c:pt idx="226">
                  <c:v>6.66372789423587</c:v>
                </c:pt>
                <c:pt idx="227">
                  <c:v>6.78736003785763</c:v>
                </c:pt>
                <c:pt idx="228">
                  <c:v>7.27810653067485</c:v>
                </c:pt>
                <c:pt idx="229">
                  <c:v>7.09592824610552</c:v>
                </c:pt>
                <c:pt idx="230">
                  <c:v>7.2594042410393</c:v>
                </c:pt>
                <c:pt idx="231">
                  <c:v>7.63476625613072</c:v>
                </c:pt>
                <c:pt idx="232">
                  <c:v>7.94795963748971</c:v>
                </c:pt>
                <c:pt idx="233">
                  <c:v>7.90336363596376</c:v>
                </c:pt>
                <c:pt idx="234">
                  <c:v>8.6150852414732</c:v>
                </c:pt>
                <c:pt idx="235">
                  <c:v>8.78612052877217</c:v>
                </c:pt>
                <c:pt idx="236">
                  <c:v>8.75094090217497</c:v>
                </c:pt>
                <c:pt idx="237">
                  <c:v>8.54407741018845</c:v>
                </c:pt>
                <c:pt idx="238">
                  <c:v>8.7190515714717</c:v>
                </c:pt>
                <c:pt idx="239">
                  <c:v>8.91659912292653</c:v>
                </c:pt>
                <c:pt idx="240">
                  <c:v>8.3132931096702</c:v>
                </c:pt>
                <c:pt idx="241">
                  <c:v>8.4245332847707</c:v>
                </c:pt>
                <c:pt idx="242">
                  <c:v>8.64852477574618</c:v>
                </c:pt>
                <c:pt idx="243">
                  <c:v>8.4366013246413</c:v>
                </c:pt>
                <c:pt idx="244">
                  <c:v>9.25848658908653</c:v>
                </c:pt>
                <c:pt idx="245">
                  <c:v>9.19595477066384</c:v>
                </c:pt>
                <c:pt idx="246">
                  <c:v>9.1549959881153</c:v>
                </c:pt>
                <c:pt idx="247">
                  <c:v>8.32371319739845</c:v>
                </c:pt>
                <c:pt idx="248">
                  <c:v>7.91619252296702</c:v>
                </c:pt>
                <c:pt idx="249">
                  <c:v>7.8877179784619</c:v>
                </c:pt>
                <c:pt idx="250">
                  <c:v>8.39695693886938</c:v>
                </c:pt>
                <c:pt idx="251">
                  <c:v>8.63196257271752</c:v>
                </c:pt>
                <c:pt idx="252">
                  <c:v>9.02040952045238</c:v>
                </c:pt>
                <c:pt idx="253">
                  <c:v>9.66595512778356</c:v>
                </c:pt>
                <c:pt idx="254">
                  <c:v>9.90136946492073</c:v>
                </c:pt>
                <c:pt idx="255">
                  <c:v>9.92382577086717</c:v>
                </c:pt>
                <c:pt idx="256">
                  <c:v>10.3498556112105</c:v>
                </c:pt>
                <c:pt idx="257">
                  <c:v>9.88041721025282</c:v>
                </c:pt>
                <c:pt idx="258">
                  <c:v>10.340113501377</c:v>
                </c:pt>
                <c:pt idx="259">
                  <c:v>10.5870871123574</c:v>
                </c:pt>
                <c:pt idx="260">
                  <c:v>10.408578236556</c:v>
                </c:pt>
                <c:pt idx="261">
                  <c:v>10.5486568824635</c:v>
                </c:pt>
                <c:pt idx="262">
                  <c:v>10.1244531945922</c:v>
                </c:pt>
                <c:pt idx="263">
                  <c:v>11.27954193511</c:v>
                </c:pt>
                <c:pt idx="264">
                  <c:v>11.0725848996846</c:v>
                </c:pt>
                <c:pt idx="265">
                  <c:v>11.215033704419</c:v>
                </c:pt>
                <c:pt idx="266">
                  <c:v>10.996676998194</c:v>
                </c:pt>
                <c:pt idx="267">
                  <c:v>11.3113359138203</c:v>
                </c:pt>
                <c:pt idx="268">
                  <c:v>11.3661958930023</c:v>
                </c:pt>
                <c:pt idx="269">
                  <c:v>11.1953619687305</c:v>
                </c:pt>
                <c:pt idx="270">
                  <c:v>11.6535209619388</c:v>
                </c:pt>
                <c:pt idx="271">
                  <c:v>11.4132836273085</c:v>
                </c:pt>
                <c:pt idx="272">
                  <c:v>11.5427102636421</c:v>
                </c:pt>
                <c:pt idx="273">
                  <c:v>11.5980691020666</c:v>
                </c:pt>
                <c:pt idx="274">
                  <c:v>11.9900142493018</c:v>
                </c:pt>
                <c:pt idx="275">
                  <c:v>12.1504406399575</c:v>
                </c:pt>
                <c:pt idx="276">
                  <c:v>12.2389201486976</c:v>
                </c:pt>
                <c:pt idx="277">
                  <c:v>12.4044637826289</c:v>
                </c:pt>
                <c:pt idx="278">
                  <c:v>12.6674632237482</c:v>
                </c:pt>
                <c:pt idx="279">
                  <c:v>12.3568696929651</c:v>
                </c:pt>
                <c:pt idx="280">
                  <c:v>12.6813487342327</c:v>
                </c:pt>
                <c:pt idx="281">
                  <c:v>12.7253022889456</c:v>
                </c:pt>
                <c:pt idx="282">
                  <c:v>12.6668549755324</c:v>
                </c:pt>
                <c:pt idx="283">
                  <c:v>13.1409880241216</c:v>
                </c:pt>
                <c:pt idx="284">
                  <c:v>13.0413530529227</c:v>
                </c:pt>
                <c:pt idx="285">
                  <c:v>13.300667317027</c:v>
                </c:pt>
                <c:pt idx="286">
                  <c:v>13.1855500413981</c:v>
                </c:pt>
                <c:pt idx="287">
                  <c:v>13.3522945072217</c:v>
                </c:pt>
                <c:pt idx="288">
                  <c:v>13.7986483603036</c:v>
                </c:pt>
                <c:pt idx="289">
                  <c:v>13.4238632721894</c:v>
                </c:pt>
                <c:pt idx="290">
                  <c:v>12.8405158698331</c:v>
                </c:pt>
                <c:pt idx="291">
                  <c:v>13.0050927617368</c:v>
                </c:pt>
                <c:pt idx="292">
                  <c:v>13.2171928195879</c:v>
                </c:pt>
                <c:pt idx="293">
                  <c:v>12.8899086909893</c:v>
                </c:pt>
                <c:pt idx="294">
                  <c:v>13.3115891639063</c:v>
                </c:pt>
                <c:pt idx="295">
                  <c:v>13.8619035715314</c:v>
                </c:pt>
                <c:pt idx="296">
                  <c:v>13.5300496000289</c:v>
                </c:pt>
                <c:pt idx="297">
                  <c:v>13.8361263820808</c:v>
                </c:pt>
                <c:pt idx="298">
                  <c:v>13.3345944729831</c:v>
                </c:pt>
                <c:pt idx="299">
                  <c:v>13.5340133333266</c:v>
                </c:pt>
                <c:pt idx="300">
                  <c:v>13.8858976799931</c:v>
                </c:pt>
                <c:pt idx="301">
                  <c:v>14.4306136741838</c:v>
                </c:pt>
                <c:pt idx="302">
                  <c:v>14.8539212957023</c:v>
                </c:pt>
                <c:pt idx="303">
                  <c:v>15.2905523121895</c:v>
                </c:pt>
                <c:pt idx="304">
                  <c:v>15.8992539091854</c:v>
                </c:pt>
                <c:pt idx="305">
                  <c:v>16.2833003873618</c:v>
                </c:pt>
                <c:pt idx="306">
                  <c:v>16.8272440368016</c:v>
                </c:pt>
                <c:pt idx="307">
                  <c:v>16.8861730454185</c:v>
                </c:pt>
                <c:pt idx="308">
                  <c:v>17.5971147029767</c:v>
                </c:pt>
                <c:pt idx="309">
                  <c:v>17.5365454341691</c:v>
                </c:pt>
                <c:pt idx="310">
                  <c:v>18.3112924749052</c:v>
                </c:pt>
                <c:pt idx="311">
                  <c:v>18.63435860804</c:v>
                </c:pt>
                <c:pt idx="312">
                  <c:v>19.2839709834749</c:v>
                </c:pt>
                <c:pt idx="313">
                  <c:v>19.4785076827562</c:v>
                </c:pt>
                <c:pt idx="314">
                  <c:v>19.6652091788954</c:v>
                </c:pt>
                <c:pt idx="315">
                  <c:v>19.9628027893996</c:v>
                </c:pt>
                <c:pt idx="316">
                  <c:v>20.4670232622543</c:v>
                </c:pt>
                <c:pt idx="317">
                  <c:v>20.5515111342809</c:v>
                </c:pt>
                <c:pt idx="318">
                  <c:v>19.6381197734289</c:v>
                </c:pt>
                <c:pt idx="319">
                  <c:v>20.0687444638206</c:v>
                </c:pt>
                <c:pt idx="320">
                  <c:v>21.1932965598508</c:v>
                </c:pt>
                <c:pt idx="321">
                  <c:v>21.7612345210617</c:v>
                </c:pt>
                <c:pt idx="322">
                  <c:v>23.4246850490862</c:v>
                </c:pt>
                <c:pt idx="323">
                  <c:v>22.9609231344844</c:v>
                </c:pt>
                <c:pt idx="324">
                  <c:v>24.4034890522546</c:v>
                </c:pt>
                <c:pt idx="325">
                  <c:v>24.5926648993877</c:v>
                </c:pt>
                <c:pt idx="326">
                  <c:v>23.567445885062</c:v>
                </c:pt>
                <c:pt idx="327">
                  <c:v>24.9879501183383</c:v>
                </c:pt>
                <c:pt idx="328">
                  <c:v>26.5222352435543</c:v>
                </c:pt>
                <c:pt idx="329">
                  <c:v>27.6919453845008</c:v>
                </c:pt>
                <c:pt idx="330">
                  <c:v>29.9180454900701</c:v>
                </c:pt>
                <c:pt idx="331">
                  <c:v>28.2733009392535</c:v>
                </c:pt>
                <c:pt idx="332">
                  <c:v>29.7968360336661</c:v>
                </c:pt>
                <c:pt idx="333">
                  <c:v>28.8253101947884</c:v>
                </c:pt>
                <c:pt idx="334">
                  <c:v>30.1605273883212</c:v>
                </c:pt>
                <c:pt idx="335">
                  <c:v>30.6776899514487</c:v>
                </c:pt>
                <c:pt idx="336">
                  <c:v>31.0456381647264</c:v>
                </c:pt>
                <c:pt idx="337">
                  <c:v>33.2795581045075</c:v>
                </c:pt>
                <c:pt idx="338">
                  <c:v>34.9879974993605</c:v>
                </c:pt>
                <c:pt idx="339">
                  <c:v>35.3825221591633</c:v>
                </c:pt>
                <c:pt idx="340">
                  <c:v>34.7571714625222</c:v>
                </c:pt>
                <c:pt idx="341">
                  <c:v>36.1811727773417</c:v>
                </c:pt>
                <c:pt idx="342">
                  <c:v>35.8154173017356</c:v>
                </c:pt>
                <c:pt idx="343">
                  <c:v>30.689371515842</c:v>
                </c:pt>
                <c:pt idx="344">
                  <c:v>32.6282032507268</c:v>
                </c:pt>
                <c:pt idx="345">
                  <c:v>35.2420812413458</c:v>
                </c:pt>
                <c:pt idx="346">
                  <c:v>37.4329052217141</c:v>
                </c:pt>
                <c:pt idx="347">
                  <c:v>39.6666389750094</c:v>
                </c:pt>
                <c:pt idx="348">
                  <c:v>41.3643711231398</c:v>
                </c:pt>
                <c:pt idx="349">
                  <c:v>40.0433999313223</c:v>
                </c:pt>
                <c:pt idx="350">
                  <c:v>41.6042516172454</c:v>
                </c:pt>
                <c:pt idx="351">
                  <c:v>43.1668657037375</c:v>
                </c:pt>
                <c:pt idx="352">
                  <c:v>42.1671642609046</c:v>
                </c:pt>
                <c:pt idx="353">
                  <c:v>44.4623651787899</c:v>
                </c:pt>
                <c:pt idx="354">
                  <c:v>43.1187125030869</c:v>
                </c:pt>
                <c:pt idx="355">
                  <c:v>42.9029464657214</c:v>
                </c:pt>
                <c:pt idx="356">
                  <c:v>41.6982746319104</c:v>
                </c:pt>
                <c:pt idx="357">
                  <c:v>44.3768883977151</c:v>
                </c:pt>
                <c:pt idx="358">
                  <c:v>45.3009039679323</c:v>
                </c:pt>
                <c:pt idx="359">
                  <c:v>48.1357892373416</c:v>
                </c:pt>
                <c:pt idx="360">
                  <c:v>45.7468100174923</c:v>
                </c:pt>
                <c:pt idx="361">
                  <c:v>44.9481622082069</c:v>
                </c:pt>
                <c:pt idx="362">
                  <c:v>49.3750168077688</c:v>
                </c:pt>
                <c:pt idx="363">
                  <c:v>47.815605651929</c:v>
                </c:pt>
                <c:pt idx="364">
                  <c:v>46.7491263834684</c:v>
                </c:pt>
                <c:pt idx="365">
                  <c:v>47.9748417281166</c:v>
                </c:pt>
                <c:pt idx="366">
                  <c:v>47.3610036282053</c:v>
                </c:pt>
                <c:pt idx="367">
                  <c:v>50.3255182893092</c:v>
                </c:pt>
                <c:pt idx="368">
                  <c:v>47.7041626926557</c:v>
                </c:pt>
                <c:pt idx="369">
                  <c:v>47.5076215423619</c:v>
                </c:pt>
                <c:pt idx="370">
                  <c:v>43.7892950194843</c:v>
                </c:pt>
                <c:pt idx="371">
                  <c:v>44.0397697869958</c:v>
                </c:pt>
                <c:pt idx="372">
                  <c:v>45.4654252145404</c:v>
                </c:pt>
                <c:pt idx="373">
                  <c:v>41.3302538604275</c:v>
                </c:pt>
                <c:pt idx="374">
                  <c:v>38.6972687079951</c:v>
                </c:pt>
                <c:pt idx="375">
                  <c:v>41.7088449479262</c:v>
                </c:pt>
                <c:pt idx="376">
                  <c:v>41.994925915424</c:v>
                </c:pt>
                <c:pt idx="377">
                  <c:v>40.9658402558665</c:v>
                </c:pt>
                <c:pt idx="378">
                  <c:v>40.5841615222026</c:v>
                </c:pt>
                <c:pt idx="379">
                  <c:v>38.0097052360417</c:v>
                </c:pt>
                <c:pt idx="380">
                  <c:v>34.9552073135681</c:v>
                </c:pt>
                <c:pt idx="381">
                  <c:v>35.6382320644753</c:v>
                </c:pt>
                <c:pt idx="382">
                  <c:v>38.4460614541391</c:v>
                </c:pt>
                <c:pt idx="383">
                  <c:v>38.7940367563605</c:v>
                </c:pt>
                <c:pt idx="384">
                  <c:v>38.2383509738624</c:v>
                </c:pt>
                <c:pt idx="385">
                  <c:v>37.4934296585406</c:v>
                </c:pt>
                <c:pt idx="386">
                  <c:v>38.9021327976712</c:v>
                </c:pt>
                <c:pt idx="387">
                  <c:v>36.5290637948805</c:v>
                </c:pt>
                <c:pt idx="388">
                  <c:v>36.2441370972804</c:v>
                </c:pt>
                <c:pt idx="389">
                  <c:v>33.6581541595266</c:v>
                </c:pt>
                <c:pt idx="390">
                  <c:v>31.1678883077257</c:v>
                </c:pt>
                <c:pt idx="391">
                  <c:v>31.3879647670665</c:v>
                </c:pt>
                <c:pt idx="392">
                  <c:v>27.9677751862231</c:v>
                </c:pt>
                <c:pt idx="393">
                  <c:v>30.4456920999473</c:v>
                </c:pt>
                <c:pt idx="394">
                  <c:v>32.2425664019941</c:v>
                </c:pt>
                <c:pt idx="395">
                  <c:v>30.3456072502992</c:v>
                </c:pt>
                <c:pt idx="396">
                  <c:v>29.5390513551935</c:v>
                </c:pt>
                <c:pt idx="397">
                  <c:v>29.0886989782322</c:v>
                </c:pt>
                <c:pt idx="398">
                  <c:v>29.3885452872998</c:v>
                </c:pt>
                <c:pt idx="399">
                  <c:v>31.8211527349108</c:v>
                </c:pt>
                <c:pt idx="400">
                  <c:v>33.5156609391975</c:v>
                </c:pt>
                <c:pt idx="401">
                  <c:v>33.9451976497942</c:v>
                </c:pt>
                <c:pt idx="402">
                  <c:v>34.5539029340504</c:v>
                </c:pt>
                <c:pt idx="403">
                  <c:v>35.2310557698489</c:v>
                </c:pt>
                <c:pt idx="404">
                  <c:v>34.8527799240481</c:v>
                </c:pt>
                <c:pt idx="405">
                  <c:v>36.7892003766282</c:v>
                </c:pt>
                <c:pt idx="406">
                  <c:v>37.1298315829154</c:v>
                </c:pt>
                <c:pt idx="407">
                  <c:v>39.0524142622787</c:v>
                </c:pt>
                <c:pt idx="408">
                  <c:v>39.7974562215745</c:v>
                </c:pt>
                <c:pt idx="409">
                  <c:v>40.3706589835338</c:v>
                </c:pt>
                <c:pt idx="410">
                  <c:v>39.7658257706425</c:v>
                </c:pt>
                <c:pt idx="411">
                  <c:v>39.1461151418328</c:v>
                </c:pt>
                <c:pt idx="412">
                  <c:v>39.6796375451009</c:v>
                </c:pt>
                <c:pt idx="413">
                  <c:v>40.4529540012174</c:v>
                </c:pt>
                <c:pt idx="414">
                  <c:v>39.1198673550612</c:v>
                </c:pt>
                <c:pt idx="415">
                  <c:v>39.2687966900819</c:v>
                </c:pt>
                <c:pt idx="416">
                  <c:v>39.6935672638786</c:v>
                </c:pt>
                <c:pt idx="417">
                  <c:v>40.2878990465206</c:v>
                </c:pt>
                <c:pt idx="418">
                  <c:v>41.9219359439485</c:v>
                </c:pt>
                <c:pt idx="419">
                  <c:v>43.3361305310816</c:v>
                </c:pt>
                <c:pt idx="420">
                  <c:v>42.3036905573091</c:v>
                </c:pt>
                <c:pt idx="421">
                  <c:v>43.1984982199773</c:v>
                </c:pt>
                <c:pt idx="422">
                  <c:v>42.4537561106649</c:v>
                </c:pt>
                <c:pt idx="423">
                  <c:v>41.6502763225145</c:v>
                </c:pt>
                <c:pt idx="424">
                  <c:v>42.982835263177</c:v>
                </c:pt>
                <c:pt idx="425">
                  <c:v>43.0566367913239</c:v>
                </c:pt>
                <c:pt idx="426">
                  <c:v>44.6654049683949</c:v>
                </c:pt>
                <c:pt idx="427">
                  <c:v>44.2563145242894</c:v>
                </c:pt>
                <c:pt idx="428">
                  <c:v>44.6133302135568</c:v>
                </c:pt>
                <c:pt idx="429">
                  <c:v>43.9141501024499</c:v>
                </c:pt>
                <c:pt idx="430">
                  <c:v>45.5955789957227</c:v>
                </c:pt>
                <c:pt idx="431">
                  <c:v>45.5928432609829</c:v>
                </c:pt>
                <c:pt idx="432">
                  <c:v>46.7984092224898</c:v>
                </c:pt>
                <c:pt idx="433">
                  <c:v>46.9118953648544</c:v>
                </c:pt>
                <c:pt idx="434">
                  <c:v>47.5174810221193</c:v>
                </c:pt>
                <c:pt idx="435">
                  <c:v>48.0907319131701</c:v>
                </c:pt>
                <c:pt idx="436">
                  <c:v>46.728850476121</c:v>
                </c:pt>
                <c:pt idx="437">
                  <c:v>46.8030091618267</c:v>
                </c:pt>
                <c:pt idx="438">
                  <c:v>47.0637487258672</c:v>
                </c:pt>
                <c:pt idx="439">
                  <c:v>48.2003382575969</c:v>
                </c:pt>
                <c:pt idx="440">
                  <c:v>49.4770206170258</c:v>
                </c:pt>
                <c:pt idx="441">
                  <c:v>51.0863596666358</c:v>
                </c:pt>
                <c:pt idx="442">
                  <c:v>52.025582389107</c:v>
                </c:pt>
                <c:pt idx="443">
                  <c:v>52.7418706074402</c:v>
                </c:pt>
                <c:pt idx="444">
                  <c:v>53.5495068720519</c:v>
                </c:pt>
                <c:pt idx="445">
                  <c:v>52.5166439835038</c:v>
                </c:pt>
                <c:pt idx="446">
                  <c:v>53.0887603030601</c:v>
                </c:pt>
                <c:pt idx="447">
                  <c:v>55.424187957552</c:v>
                </c:pt>
                <c:pt idx="448">
                  <c:v>57.3340500503813</c:v>
                </c:pt>
                <c:pt idx="449">
                  <c:v>56.3811581385439</c:v>
                </c:pt>
                <c:pt idx="450">
                  <c:v>54.6222351480958</c:v>
                </c:pt>
                <c:pt idx="451">
                  <c:v>55.4467031654211</c:v>
                </c:pt>
                <c:pt idx="452">
                  <c:v>57.5241802396231</c:v>
                </c:pt>
                <c:pt idx="453">
                  <c:v>58.522800008583</c:v>
                </c:pt>
                <c:pt idx="454">
                  <c:v>56.1010094986278</c:v>
                </c:pt>
                <c:pt idx="455">
                  <c:v>55.7578957245342</c:v>
                </c:pt>
                <c:pt idx="456">
                  <c:v>52.3474082746473</c:v>
                </c:pt>
                <c:pt idx="457">
                  <c:v>50.7027050540662</c:v>
                </c:pt>
                <c:pt idx="458">
                  <c:v>50.5303158568824</c:v>
                </c:pt>
                <c:pt idx="459">
                  <c:v>52.9875545866867</c:v>
                </c:pt>
                <c:pt idx="460">
                  <c:v>53.6756509705494</c:v>
                </c:pt>
                <c:pt idx="461">
                  <c:v>49.2290526928472</c:v>
                </c:pt>
                <c:pt idx="462">
                  <c:v>48.8693852338732</c:v>
                </c:pt>
                <c:pt idx="463">
                  <c:v>49.6002268900458</c:v>
                </c:pt>
                <c:pt idx="464">
                  <c:v>45.3610442984343</c:v>
                </c:pt>
                <c:pt idx="465">
                  <c:v>37.7866571214817</c:v>
                </c:pt>
                <c:pt idx="466">
                  <c:v>35.0088843831673</c:v>
                </c:pt>
                <c:pt idx="467">
                  <c:v>35.4288509602278</c:v>
                </c:pt>
                <c:pt idx="468">
                  <c:v>32.5018964381486</c:v>
                </c:pt>
                <c:pt idx="469">
                  <c:v>29.1350899899137</c:v>
                </c:pt>
                <c:pt idx="470">
                  <c:v>31.6883144660897</c:v>
                </c:pt>
                <c:pt idx="471">
                  <c:v>34.6743043382294</c:v>
                </c:pt>
                <c:pt idx="472">
                  <c:v>36.5689083272702</c:v>
                </c:pt>
                <c:pt idx="473">
                  <c:v>36.6594529442885</c:v>
                </c:pt>
                <c:pt idx="474">
                  <c:v>39.389922318485</c:v>
                </c:pt>
                <c:pt idx="475">
                  <c:v>40.7587615089747</c:v>
                </c:pt>
                <c:pt idx="476">
                  <c:v>42.2478421019436</c:v>
                </c:pt>
                <c:pt idx="477">
                  <c:v>41.4764387530042</c:v>
                </c:pt>
                <c:pt idx="478">
                  <c:v>43.975684522944</c:v>
                </c:pt>
                <c:pt idx="479">
                  <c:v>44.810474942243</c:v>
                </c:pt>
                <c:pt idx="480">
                  <c:v>43.2084556525829</c:v>
                </c:pt>
                <c:pt idx="481">
                  <c:v>44.5230297073571</c:v>
                </c:pt>
                <c:pt idx="482">
                  <c:v>47.2395578419218</c:v>
                </c:pt>
                <c:pt idx="483">
                  <c:v>47.9943042575622</c:v>
                </c:pt>
                <c:pt idx="484">
                  <c:v>44.1494325491846</c:v>
                </c:pt>
                <c:pt idx="485">
                  <c:v>41.7863341719895</c:v>
                </c:pt>
                <c:pt idx="486">
                  <c:v>44.7302232007403</c:v>
                </c:pt>
                <c:pt idx="487">
                  <c:v>42.6979502398379</c:v>
                </c:pt>
                <c:pt idx="488">
                  <c:v>46.5571190763652</c:v>
                </c:pt>
                <c:pt idx="489">
                  <c:v>48.3600900697165</c:v>
                </c:pt>
                <c:pt idx="490">
                  <c:v>48.3576237051229</c:v>
                </c:pt>
                <c:pt idx="491">
                  <c:v>51.6002441626699</c:v>
                </c:pt>
                <c:pt idx="492">
                  <c:v>52.8050582636241</c:v>
                </c:pt>
                <c:pt idx="493">
                  <c:v>54.521645097658</c:v>
                </c:pt>
                <c:pt idx="494">
                  <c:v>54.5557211258441</c:v>
                </c:pt>
                <c:pt idx="495">
                  <c:v>56.16189611151</c:v>
                </c:pt>
                <c:pt idx="496">
                  <c:v>55.5265365808005</c:v>
                </c:pt>
                <c:pt idx="497">
                  <c:v>54.6078500330712</c:v>
                </c:pt>
                <c:pt idx="498">
                  <c:v>53.5250855826154</c:v>
                </c:pt>
                <c:pt idx="499">
                  <c:v>50.617442358511</c:v>
                </c:pt>
                <c:pt idx="500">
                  <c:v>47.0621744421339</c:v>
                </c:pt>
                <c:pt idx="501">
                  <c:v>52.1926103267687</c:v>
                </c:pt>
                <c:pt idx="502">
                  <c:v>52.0502810784076</c:v>
                </c:pt>
                <c:pt idx="503">
                  <c:v>52.5409590781338</c:v>
                </c:pt>
                <c:pt idx="504">
                  <c:v>54.9160731332608</c:v>
                </c:pt>
                <c:pt idx="505">
                  <c:v>57.2961906589295</c:v>
                </c:pt>
                <c:pt idx="506">
                  <c:v>59.1792872611258</c:v>
                </c:pt>
                <c:pt idx="507">
                  <c:v>58.8221994417922</c:v>
                </c:pt>
                <c:pt idx="508">
                  <c:v>55.3052201371674</c:v>
                </c:pt>
                <c:pt idx="509">
                  <c:v>57.5984510901551</c:v>
                </c:pt>
                <c:pt idx="510">
                  <c:v>58.425737643163</c:v>
                </c:pt>
                <c:pt idx="511">
                  <c:v>59.7545726201191</c:v>
                </c:pt>
                <c:pt idx="512">
                  <c:v>61.2556074843365</c:v>
                </c:pt>
                <c:pt idx="513">
                  <c:v>60.1629912136384</c:v>
                </c:pt>
                <c:pt idx="514">
                  <c:v>60.4834193048422</c:v>
                </c:pt>
                <c:pt idx="515">
                  <c:v>60.9980122362878</c:v>
                </c:pt>
                <c:pt idx="516">
                  <c:v>64.1919291549921</c:v>
                </c:pt>
                <c:pt idx="517">
                  <c:v>65.027258729086</c:v>
                </c:pt>
                <c:pt idx="518">
                  <c:v>67.47124322116</c:v>
                </c:pt>
                <c:pt idx="519">
                  <c:v>68.7951639556456</c:v>
                </c:pt>
                <c:pt idx="520">
                  <c:v>70.3857081463001</c:v>
                </c:pt>
                <c:pt idx="521">
                  <c:v>69.4283921298023</c:v>
                </c:pt>
                <c:pt idx="522">
                  <c:v>72.9464676158036</c:v>
                </c:pt>
                <c:pt idx="523">
                  <c:v>70.8159201361488</c:v>
                </c:pt>
                <c:pt idx="524">
                  <c:v>73.0579521676593</c:v>
                </c:pt>
                <c:pt idx="525">
                  <c:v>76.4381974985526</c:v>
                </c:pt>
                <c:pt idx="526">
                  <c:v>78.7937934308655</c:v>
                </c:pt>
                <c:pt idx="527">
                  <c:v>80.8384923703964</c:v>
                </c:pt>
                <c:pt idx="528">
                  <c:v>78.0361451938843</c:v>
                </c:pt>
                <c:pt idx="529">
                  <c:v>81.6068450895208</c:v>
                </c:pt>
                <c:pt idx="530">
                  <c:v>82.264269833562</c:v>
                </c:pt>
                <c:pt idx="531">
                  <c:v>82.803512122321</c:v>
                </c:pt>
                <c:pt idx="532">
                  <c:v>84.7335791863802</c:v>
                </c:pt>
                <c:pt idx="533">
                  <c:v>86.4820565928912</c:v>
                </c:pt>
                <c:pt idx="534">
                  <c:v>85.2735563340621</c:v>
                </c:pt>
                <c:pt idx="535">
                  <c:v>88.6654825843621</c:v>
                </c:pt>
                <c:pt idx="536">
                  <c:v>87.4305497429271</c:v>
                </c:pt>
                <c:pt idx="537">
                  <c:v>89.5264348813646</c:v>
                </c:pt>
                <c:pt idx="538">
                  <c:v>92.0001398035715</c:v>
                </c:pt>
                <c:pt idx="539">
                  <c:v>91.7726234578373</c:v>
                </c:pt>
                <c:pt idx="540">
                  <c:v>89.0717551494732</c:v>
                </c:pt>
                <c:pt idx="541">
                  <c:v>94.1467074708695</c:v>
                </c:pt>
                <c:pt idx="542">
                  <c:v>92.7351658857588</c:v>
                </c:pt>
                <c:pt idx="543">
                  <c:v>93.5791486304851</c:v>
                </c:pt>
                <c:pt idx="544">
                  <c:v>94.750946729636</c:v>
                </c:pt>
                <c:pt idx="545">
                  <c:v>92.9181791670447</c:v>
                </c:pt>
                <c:pt idx="546">
                  <c:v>94.8970576287652</c:v>
                </c:pt>
                <c:pt idx="547">
                  <c:v>89.1963066858324</c:v>
                </c:pt>
                <c:pt idx="548">
                  <c:v>87.0067157493086</c:v>
                </c:pt>
                <c:pt idx="549">
                  <c:v>94.2673391718726</c:v>
                </c:pt>
                <c:pt idx="550">
                  <c:v>94.5853029068993</c:v>
                </c:pt>
                <c:pt idx="551">
                  <c:v>93.1431607934779</c:v>
                </c:pt>
                <c:pt idx="552">
                  <c:v>88.5698315985181</c:v>
                </c:pt>
                <c:pt idx="553">
                  <c:v>88.4155429518735</c:v>
                </c:pt>
                <c:pt idx="554">
                  <c:v>94.3694456142526</c:v>
                </c:pt>
                <c:pt idx="555">
                  <c:v>94.7230479269692</c:v>
                </c:pt>
                <c:pt idx="556">
                  <c:v>96.4741929139951</c:v>
                </c:pt>
                <c:pt idx="557">
                  <c:v>96.73226138004</c:v>
                </c:pt>
                <c:pt idx="558">
                  <c:v>100.269856910969</c:v>
                </c:pt>
                <c:pt idx="559">
                  <c:v>100.394893422537</c:v>
                </c:pt>
                <c:pt idx="560">
                  <c:v>100.439669545004</c:v>
                </c:pt>
                <c:pt idx="561">
                  <c:v>98.6373801146883</c:v>
                </c:pt>
                <c:pt idx="562">
                  <c:v>102.169781971356</c:v>
                </c:pt>
                <c:pt idx="563">
                  <c:v>104.131850464333</c:v>
                </c:pt>
                <c:pt idx="564">
                  <c:v>106.150342253734</c:v>
                </c:pt>
                <c:pt idx="565">
                  <c:v>110.338928608724</c:v>
                </c:pt>
                <c:pt idx="566">
                  <c:v>110.522642924858</c:v>
                </c:pt>
                <c:pt idx="567">
                  <c:v>111.693188236075</c:v>
                </c:pt>
                <c:pt idx="568">
                  <c:v>113.318547511286</c:v>
                </c:pt>
                <c:pt idx="569">
                  <c:v>113.975568449757</c:v>
                </c:pt>
                <c:pt idx="570">
                  <c:v>116.334406814393</c:v>
                </c:pt>
                <c:pt idx="571">
                  <c:v>116.594763216843</c:v>
                </c:pt>
                <c:pt idx="572">
                  <c:v>118.932488219341</c:v>
                </c:pt>
                <c:pt idx="573">
                  <c:v>121.80256702505</c:v>
                </c:pt>
                <c:pt idx="574">
                  <c:v>125.6258278014</c:v>
                </c:pt>
                <c:pt idx="575">
                  <c:v>127.026430155557</c:v>
                </c:pt>
                <c:pt idx="576">
                  <c:v>134.401584690389</c:v>
                </c:pt>
                <c:pt idx="577">
                  <c:v>129.339886609364</c:v>
                </c:pt>
                <c:pt idx="578">
                  <c:v>126.047022436177</c:v>
                </c:pt>
                <c:pt idx="579">
                  <c:v>126.522219710761</c:v>
                </c:pt>
                <c:pt idx="580">
                  <c:v>129.533448539877</c:v>
                </c:pt>
                <c:pt idx="581">
                  <c:v>130.41945732789</c:v>
                </c:pt>
                <c:pt idx="582">
                  <c:v>135.263757650877</c:v>
                </c:pt>
                <c:pt idx="583">
                  <c:v>139.719075300382</c:v>
                </c:pt>
                <c:pt idx="584">
                  <c:v>140.436951909275</c:v>
                </c:pt>
                <c:pt idx="585">
                  <c:v>130.829800466113</c:v>
                </c:pt>
                <c:pt idx="586">
                  <c:v>133.41395068492</c:v>
                </c:pt>
                <c:pt idx="587">
                  <c:v>121.320509711135</c:v>
                </c:pt>
                <c:pt idx="588">
                  <c:v>131.197091086208</c:v>
                </c:pt>
                <c:pt idx="589">
                  <c:v>135.35708845037</c:v>
                </c:pt>
                <c:pt idx="590">
                  <c:v>138.000747744894</c:v>
                </c:pt>
                <c:pt idx="591">
                  <c:v>143.607718125769</c:v>
                </c:pt>
                <c:pt idx="592">
                  <c:v>134.533577240556</c:v>
                </c:pt>
                <c:pt idx="593">
                  <c:v>143.891867406987</c:v>
                </c:pt>
                <c:pt idx="594">
                  <c:v>145.993120346731</c:v>
                </c:pt>
                <c:pt idx="595">
                  <c:v>143.644821005954</c:v>
                </c:pt>
                <c:pt idx="596">
                  <c:v>146.344050837476</c:v>
                </c:pt>
                <c:pt idx="597">
                  <c:v>149.508155560634</c:v>
                </c:pt>
                <c:pt idx="598">
                  <c:v>154.921247840862</c:v>
                </c:pt>
                <c:pt idx="599">
                  <c:v>159.535887050298</c:v>
                </c:pt>
                <c:pt idx="600">
                  <c:v>159.553116926099</c:v>
                </c:pt>
                <c:pt idx="601">
                  <c:v>146.490184137125</c:v>
                </c:pt>
                <c:pt idx="602">
                  <c:v>128.618821142949</c:v>
                </c:pt>
                <c:pt idx="603">
                  <c:v>145.196501000063</c:v>
                </c:pt>
                <c:pt idx="604">
                  <c:v>152.139507284884</c:v>
                </c:pt>
                <c:pt idx="605">
                  <c:v>155.235241979117</c:v>
                </c:pt>
                <c:pt idx="606">
                  <c:v>164.069679600149</c:v>
                </c:pt>
                <c:pt idx="607">
                  <c:v>175.893853269572</c:v>
                </c:pt>
                <c:pt idx="608">
                  <c:v>169.183326873485</c:v>
                </c:pt>
                <c:pt idx="609">
                  <c:v>164.715364394083</c:v>
                </c:pt>
                <c:pt idx="610">
                  <c:v>182.735884120253</c:v>
                </c:pt>
                <c:pt idx="611">
                  <c:v>190.3325802949</c:v>
                </c:pt>
                <c:pt idx="612">
                  <c:v>188.419357197776</c:v>
                </c:pt>
                <c:pt idx="613">
                  <c:v>193.337856098067</c:v>
                </c:pt>
                <c:pt idx="614">
                  <c:v>201.712091997098</c:v>
                </c:pt>
                <c:pt idx="615">
                  <c:v>212.58518060411</c:v>
                </c:pt>
                <c:pt idx="616">
                  <c:v>213.9049094053</c:v>
                </c:pt>
                <c:pt idx="617">
                  <c:v>218.970605469836</c:v>
                </c:pt>
                <c:pt idx="618">
                  <c:v>224.292686035781</c:v>
                </c:pt>
                <c:pt idx="619">
                  <c:v>231.156042228476</c:v>
                </c:pt>
                <c:pt idx="620">
                  <c:v>220.505065270714</c:v>
                </c:pt>
                <c:pt idx="621">
                  <c:v>236.052877422952</c:v>
                </c:pt>
                <c:pt idx="622">
                  <c:v>234.340077744371</c:v>
                </c:pt>
                <c:pt idx="623">
                  <c:v>244.530356025085</c:v>
                </c:pt>
                <c:pt idx="624">
                  <c:v>231.755356635267</c:v>
                </c:pt>
                <c:pt idx="625">
                  <c:v>224.96654697335</c:v>
                </c:pt>
                <c:pt idx="626">
                  <c:v>233.498403267314</c:v>
                </c:pt>
                <c:pt idx="627">
                  <c:v>213.049313604373</c:v>
                </c:pt>
                <c:pt idx="628">
                  <c:v>213.128994047661</c:v>
                </c:pt>
                <c:pt idx="629">
                  <c:v>195.719978426866</c:v>
                </c:pt>
                <c:pt idx="630">
                  <c:v>214.071857924039</c:v>
                </c:pt>
                <c:pt idx="631">
                  <c:v>205.44583240899</c:v>
                </c:pt>
                <c:pt idx="632">
                  <c:v>186.648565972729</c:v>
                </c:pt>
                <c:pt idx="633">
                  <c:v>201.626926743475</c:v>
                </c:pt>
                <c:pt idx="634">
                  <c:v>212.548049230535</c:v>
                </c:pt>
                <c:pt idx="635">
                  <c:v>200.053624704568</c:v>
                </c:pt>
                <c:pt idx="636">
                  <c:v>212.819046496966</c:v>
                </c:pt>
                <c:pt idx="637">
                  <c:v>207.654992333717</c:v>
                </c:pt>
                <c:pt idx="638">
                  <c:v>215.437693791392</c:v>
                </c:pt>
                <c:pt idx="639">
                  <c:v>218.67249076367</c:v>
                </c:pt>
                <c:pt idx="640">
                  <c:v>219.832766999662</c:v>
                </c:pt>
                <c:pt idx="641">
                  <c:v>234.551010415824</c:v>
                </c:pt>
                <c:pt idx="642">
                  <c:v>241.986277446005</c:v>
                </c:pt>
                <c:pt idx="643">
                  <c:v>238.253881102678</c:v>
                </c:pt>
                <c:pt idx="644">
                  <c:v>226.921096994148</c:v>
                </c:pt>
                <c:pt idx="645">
                  <c:v>222.146677113391</c:v>
                </c:pt>
                <c:pt idx="646">
                  <c:v>242.318483981996</c:v>
                </c:pt>
                <c:pt idx="647">
                  <c:v>253.34542891408</c:v>
                </c:pt>
                <c:pt idx="648">
                  <c:v>257.356140399219</c:v>
                </c:pt>
                <c:pt idx="649">
                  <c:v>271.00399388073</c:v>
                </c:pt>
                <c:pt idx="650">
                  <c:v>279.733303527622</c:v>
                </c:pt>
                <c:pt idx="651">
                  <c:v>268.599918047223</c:v>
                </c:pt>
                <c:pt idx="652">
                  <c:v>281.877080596215</c:v>
                </c:pt>
                <c:pt idx="653">
                  <c:v>292.362626117314</c:v>
                </c:pt>
                <c:pt idx="654">
                  <c:v>295.914247299387</c:v>
                </c:pt>
                <c:pt idx="655">
                  <c:v>303.099932966558</c:v>
                </c:pt>
                <c:pt idx="656">
                  <c:v>310.016976536788</c:v>
                </c:pt>
                <c:pt idx="657">
                  <c:v>307.322929010683</c:v>
                </c:pt>
                <c:pt idx="658">
                  <c:v>325.891380381509</c:v>
                </c:pt>
                <c:pt idx="659">
                  <c:v>318.250856968464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S&amp;P 500 EW total return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60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29281</c:v>
                </c:pt>
                <c:pt idx="123">
                  <c:v>29312</c:v>
                </c:pt>
                <c:pt idx="124">
                  <c:v>29342</c:v>
                </c:pt>
                <c:pt idx="125">
                  <c:v>29373</c:v>
                </c:pt>
                <c:pt idx="126">
                  <c:v>29403</c:v>
                </c:pt>
                <c:pt idx="127">
                  <c:v>29434</c:v>
                </c:pt>
                <c:pt idx="128">
                  <c:v>29465</c:v>
                </c:pt>
                <c:pt idx="129">
                  <c:v>29495</c:v>
                </c:pt>
                <c:pt idx="130">
                  <c:v>29526</c:v>
                </c:pt>
                <c:pt idx="131">
                  <c:v>29556</c:v>
                </c:pt>
                <c:pt idx="132">
                  <c:v>29587</c:v>
                </c:pt>
                <c:pt idx="133">
                  <c:v>29618</c:v>
                </c:pt>
                <c:pt idx="134">
                  <c:v>29646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29799</c:v>
                </c:pt>
                <c:pt idx="140">
                  <c:v>29830</c:v>
                </c:pt>
                <c:pt idx="141">
                  <c:v>29860</c:v>
                </c:pt>
                <c:pt idx="142">
                  <c:v>29891</c:v>
                </c:pt>
                <c:pt idx="143">
                  <c:v>29921</c:v>
                </c:pt>
                <c:pt idx="144">
                  <c:v>29952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30072</c:v>
                </c:pt>
                <c:pt idx="149">
                  <c:v>30103</c:v>
                </c:pt>
                <c:pt idx="150">
                  <c:v>30133</c:v>
                </c:pt>
                <c:pt idx="151">
                  <c:v>30164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30317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30437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30590</c:v>
                </c:pt>
                <c:pt idx="166">
                  <c:v>30621</c:v>
                </c:pt>
                <c:pt idx="167">
                  <c:v>30651</c:v>
                </c:pt>
                <c:pt idx="168">
                  <c:v>30682</c:v>
                </c:pt>
                <c:pt idx="169">
                  <c:v>30713</c:v>
                </c:pt>
                <c:pt idx="170">
                  <c:v>30742</c:v>
                </c:pt>
                <c:pt idx="171">
                  <c:v>30773</c:v>
                </c:pt>
                <c:pt idx="172">
                  <c:v>30803</c:v>
                </c:pt>
                <c:pt idx="173">
                  <c:v>30834</c:v>
                </c:pt>
                <c:pt idx="174">
                  <c:v>30864</c:v>
                </c:pt>
                <c:pt idx="175">
                  <c:v>30895</c:v>
                </c:pt>
                <c:pt idx="176">
                  <c:v>30926</c:v>
                </c:pt>
                <c:pt idx="177">
                  <c:v>30956</c:v>
                </c:pt>
                <c:pt idx="178">
                  <c:v>30987</c:v>
                </c:pt>
                <c:pt idx="179">
                  <c:v>31017</c:v>
                </c:pt>
                <c:pt idx="180">
                  <c:v>31048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31199</c:v>
                </c:pt>
                <c:pt idx="186">
                  <c:v>31229</c:v>
                </c:pt>
                <c:pt idx="187">
                  <c:v>31260</c:v>
                </c:pt>
                <c:pt idx="188">
                  <c:v>31291</c:v>
                </c:pt>
                <c:pt idx="189">
                  <c:v>31321</c:v>
                </c:pt>
                <c:pt idx="190">
                  <c:v>31352</c:v>
                </c:pt>
                <c:pt idx="191">
                  <c:v>31382</c:v>
                </c:pt>
                <c:pt idx="192">
                  <c:v>31413</c:v>
                </c:pt>
                <c:pt idx="193">
                  <c:v>31444</c:v>
                </c:pt>
                <c:pt idx="194">
                  <c:v>31472</c:v>
                </c:pt>
                <c:pt idx="195">
                  <c:v>31503</c:v>
                </c:pt>
                <c:pt idx="196">
                  <c:v>31533</c:v>
                </c:pt>
                <c:pt idx="197">
                  <c:v>31564</c:v>
                </c:pt>
                <c:pt idx="198">
                  <c:v>31594</c:v>
                </c:pt>
                <c:pt idx="199">
                  <c:v>31625</c:v>
                </c:pt>
                <c:pt idx="200">
                  <c:v>31656</c:v>
                </c:pt>
                <c:pt idx="201">
                  <c:v>31686</c:v>
                </c:pt>
                <c:pt idx="202">
                  <c:v>31717</c:v>
                </c:pt>
                <c:pt idx="203">
                  <c:v>31747</c:v>
                </c:pt>
                <c:pt idx="204">
                  <c:v>31778</c:v>
                </c:pt>
                <c:pt idx="205">
                  <c:v>31809</c:v>
                </c:pt>
                <c:pt idx="206">
                  <c:v>31837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31990</c:v>
                </c:pt>
                <c:pt idx="212">
                  <c:v>32021</c:v>
                </c:pt>
                <c:pt idx="213">
                  <c:v>32051</c:v>
                </c:pt>
                <c:pt idx="214">
                  <c:v>32082</c:v>
                </c:pt>
                <c:pt idx="215">
                  <c:v>32112</c:v>
                </c:pt>
                <c:pt idx="216">
                  <c:v>32143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32264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32417</c:v>
                </c:pt>
                <c:pt idx="226">
                  <c:v>32448</c:v>
                </c:pt>
                <c:pt idx="227">
                  <c:v>32478</c:v>
                </c:pt>
                <c:pt idx="228">
                  <c:v>32509</c:v>
                </c:pt>
                <c:pt idx="229">
                  <c:v>32540</c:v>
                </c:pt>
                <c:pt idx="230">
                  <c:v>32568</c:v>
                </c:pt>
                <c:pt idx="231">
                  <c:v>32599</c:v>
                </c:pt>
                <c:pt idx="232">
                  <c:v>32629</c:v>
                </c:pt>
                <c:pt idx="233">
                  <c:v>32660</c:v>
                </c:pt>
                <c:pt idx="234">
                  <c:v>32690</c:v>
                </c:pt>
                <c:pt idx="235">
                  <c:v>32721</c:v>
                </c:pt>
                <c:pt idx="236">
                  <c:v>32752</c:v>
                </c:pt>
                <c:pt idx="237">
                  <c:v>32782</c:v>
                </c:pt>
                <c:pt idx="238">
                  <c:v>32813</c:v>
                </c:pt>
                <c:pt idx="239">
                  <c:v>32843</c:v>
                </c:pt>
                <c:pt idx="240">
                  <c:v>32874</c:v>
                </c:pt>
                <c:pt idx="241">
                  <c:v>32905</c:v>
                </c:pt>
                <c:pt idx="242">
                  <c:v>32933</c:v>
                </c:pt>
                <c:pt idx="243">
                  <c:v>32964</c:v>
                </c:pt>
                <c:pt idx="244">
                  <c:v>32994</c:v>
                </c:pt>
                <c:pt idx="245">
                  <c:v>33025</c:v>
                </c:pt>
                <c:pt idx="246">
                  <c:v>33055</c:v>
                </c:pt>
                <c:pt idx="247">
                  <c:v>33086</c:v>
                </c:pt>
                <c:pt idx="248">
                  <c:v>33117</c:v>
                </c:pt>
                <c:pt idx="249">
                  <c:v>33147</c:v>
                </c:pt>
                <c:pt idx="250">
                  <c:v>33178</c:v>
                </c:pt>
                <c:pt idx="251">
                  <c:v>33208</c:v>
                </c:pt>
                <c:pt idx="252">
                  <c:v>33239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33390</c:v>
                </c:pt>
                <c:pt idx="258">
                  <c:v>33420</c:v>
                </c:pt>
                <c:pt idx="259">
                  <c:v>33451</c:v>
                </c:pt>
                <c:pt idx="260">
                  <c:v>33482</c:v>
                </c:pt>
                <c:pt idx="261">
                  <c:v>33512</c:v>
                </c:pt>
                <c:pt idx="262">
                  <c:v>33543</c:v>
                </c:pt>
                <c:pt idx="263">
                  <c:v>33573</c:v>
                </c:pt>
                <c:pt idx="264">
                  <c:v>33604</c:v>
                </c:pt>
                <c:pt idx="265">
                  <c:v>33635</c:v>
                </c:pt>
                <c:pt idx="266">
                  <c:v>33664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33817</c:v>
                </c:pt>
                <c:pt idx="272">
                  <c:v>33848</c:v>
                </c:pt>
                <c:pt idx="273">
                  <c:v>33878</c:v>
                </c:pt>
                <c:pt idx="274">
                  <c:v>33909</c:v>
                </c:pt>
                <c:pt idx="275">
                  <c:v>33939</c:v>
                </c:pt>
                <c:pt idx="276">
                  <c:v>33970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34090</c:v>
                </c:pt>
                <c:pt idx="281">
                  <c:v>34121</c:v>
                </c:pt>
                <c:pt idx="282">
                  <c:v>34151</c:v>
                </c:pt>
                <c:pt idx="283">
                  <c:v>34182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34335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34455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34608</c:v>
                </c:pt>
                <c:pt idx="298">
                  <c:v>34639</c:v>
                </c:pt>
                <c:pt idx="299">
                  <c:v>34669</c:v>
                </c:pt>
                <c:pt idx="300">
                  <c:v>34700</c:v>
                </c:pt>
                <c:pt idx="301">
                  <c:v>34731</c:v>
                </c:pt>
                <c:pt idx="302">
                  <c:v>34759</c:v>
                </c:pt>
                <c:pt idx="303">
                  <c:v>34790</c:v>
                </c:pt>
                <c:pt idx="304">
                  <c:v>34820</c:v>
                </c:pt>
                <c:pt idx="305">
                  <c:v>34851</c:v>
                </c:pt>
                <c:pt idx="306">
                  <c:v>34881</c:v>
                </c:pt>
                <c:pt idx="307">
                  <c:v>34912</c:v>
                </c:pt>
                <c:pt idx="308">
                  <c:v>34943</c:v>
                </c:pt>
                <c:pt idx="309">
                  <c:v>34973</c:v>
                </c:pt>
                <c:pt idx="310">
                  <c:v>35004</c:v>
                </c:pt>
                <c:pt idx="311">
                  <c:v>35034</c:v>
                </c:pt>
                <c:pt idx="312">
                  <c:v>35065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35217</c:v>
                </c:pt>
                <c:pt idx="318">
                  <c:v>35247</c:v>
                </c:pt>
                <c:pt idx="319">
                  <c:v>35278</c:v>
                </c:pt>
                <c:pt idx="320">
                  <c:v>35309</c:v>
                </c:pt>
                <c:pt idx="321">
                  <c:v>35339</c:v>
                </c:pt>
                <c:pt idx="322">
                  <c:v>35370</c:v>
                </c:pt>
                <c:pt idx="323">
                  <c:v>35400</c:v>
                </c:pt>
                <c:pt idx="324">
                  <c:v>35431</c:v>
                </c:pt>
                <c:pt idx="325">
                  <c:v>35462</c:v>
                </c:pt>
                <c:pt idx="326">
                  <c:v>35490</c:v>
                </c:pt>
                <c:pt idx="327">
                  <c:v>35521</c:v>
                </c:pt>
                <c:pt idx="328">
                  <c:v>35551</c:v>
                </c:pt>
                <c:pt idx="329">
                  <c:v>35582</c:v>
                </c:pt>
                <c:pt idx="330">
                  <c:v>35612</c:v>
                </c:pt>
                <c:pt idx="331">
                  <c:v>35643</c:v>
                </c:pt>
                <c:pt idx="332">
                  <c:v>35674</c:v>
                </c:pt>
                <c:pt idx="333">
                  <c:v>35704</c:v>
                </c:pt>
                <c:pt idx="334">
                  <c:v>35735</c:v>
                </c:pt>
                <c:pt idx="335">
                  <c:v>35765</c:v>
                </c:pt>
                <c:pt idx="336">
                  <c:v>35796</c:v>
                </c:pt>
                <c:pt idx="337">
                  <c:v>35827</c:v>
                </c:pt>
                <c:pt idx="338">
                  <c:v>35855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36008</c:v>
                </c:pt>
                <c:pt idx="344">
                  <c:v>36039</c:v>
                </c:pt>
                <c:pt idx="345">
                  <c:v>36069</c:v>
                </c:pt>
                <c:pt idx="346">
                  <c:v>36100</c:v>
                </c:pt>
                <c:pt idx="347">
                  <c:v>36130</c:v>
                </c:pt>
                <c:pt idx="348">
                  <c:v>36161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36281</c:v>
                </c:pt>
                <c:pt idx="353">
                  <c:v>36312</c:v>
                </c:pt>
                <c:pt idx="354">
                  <c:v>36342</c:v>
                </c:pt>
                <c:pt idx="355">
                  <c:v>36373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36526</c:v>
                </c:pt>
                <c:pt idx="361">
                  <c:v>36557</c:v>
                </c:pt>
                <c:pt idx="362">
                  <c:v>36586</c:v>
                </c:pt>
                <c:pt idx="363">
                  <c:v>36617</c:v>
                </c:pt>
                <c:pt idx="364">
                  <c:v>36647</c:v>
                </c:pt>
                <c:pt idx="365">
                  <c:v>36678</c:v>
                </c:pt>
                <c:pt idx="366">
                  <c:v>36708</c:v>
                </c:pt>
                <c:pt idx="367">
                  <c:v>36739</c:v>
                </c:pt>
                <c:pt idx="368">
                  <c:v>36770</c:v>
                </c:pt>
                <c:pt idx="369">
                  <c:v>36800</c:v>
                </c:pt>
                <c:pt idx="370">
                  <c:v>36831</c:v>
                </c:pt>
                <c:pt idx="371">
                  <c:v>36861</c:v>
                </c:pt>
                <c:pt idx="372">
                  <c:v>36892</c:v>
                </c:pt>
                <c:pt idx="373">
                  <c:v>36923</c:v>
                </c:pt>
                <c:pt idx="374">
                  <c:v>36951</c:v>
                </c:pt>
                <c:pt idx="375">
                  <c:v>36982</c:v>
                </c:pt>
                <c:pt idx="376">
                  <c:v>37012</c:v>
                </c:pt>
                <c:pt idx="377">
                  <c:v>37043</c:v>
                </c:pt>
                <c:pt idx="378">
                  <c:v>37073</c:v>
                </c:pt>
                <c:pt idx="379">
                  <c:v>37104</c:v>
                </c:pt>
                <c:pt idx="380">
                  <c:v>37135</c:v>
                </c:pt>
                <c:pt idx="381">
                  <c:v>37165</c:v>
                </c:pt>
                <c:pt idx="382">
                  <c:v>37196</c:v>
                </c:pt>
                <c:pt idx="383">
                  <c:v>37226</c:v>
                </c:pt>
                <c:pt idx="384">
                  <c:v>37257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37408</c:v>
                </c:pt>
                <c:pt idx="390">
                  <c:v>37438</c:v>
                </c:pt>
                <c:pt idx="391">
                  <c:v>37469</c:v>
                </c:pt>
                <c:pt idx="392">
                  <c:v>37500</c:v>
                </c:pt>
                <c:pt idx="393">
                  <c:v>37530</c:v>
                </c:pt>
                <c:pt idx="394">
                  <c:v>37561</c:v>
                </c:pt>
                <c:pt idx="395">
                  <c:v>37591</c:v>
                </c:pt>
                <c:pt idx="396">
                  <c:v>37622</c:v>
                </c:pt>
                <c:pt idx="397">
                  <c:v>37653</c:v>
                </c:pt>
                <c:pt idx="398">
                  <c:v>37681</c:v>
                </c:pt>
                <c:pt idx="399">
                  <c:v>37712</c:v>
                </c:pt>
                <c:pt idx="400">
                  <c:v>37742</c:v>
                </c:pt>
                <c:pt idx="401">
                  <c:v>37773</c:v>
                </c:pt>
                <c:pt idx="402">
                  <c:v>37803</c:v>
                </c:pt>
                <c:pt idx="403">
                  <c:v>37834</c:v>
                </c:pt>
                <c:pt idx="404">
                  <c:v>37865</c:v>
                </c:pt>
                <c:pt idx="405">
                  <c:v>37895</c:v>
                </c:pt>
                <c:pt idx="406">
                  <c:v>37926</c:v>
                </c:pt>
                <c:pt idx="407">
                  <c:v>37956</c:v>
                </c:pt>
                <c:pt idx="408">
                  <c:v>37987</c:v>
                </c:pt>
                <c:pt idx="409">
                  <c:v>38018</c:v>
                </c:pt>
                <c:pt idx="410">
                  <c:v>38047</c:v>
                </c:pt>
                <c:pt idx="411">
                  <c:v>38078</c:v>
                </c:pt>
                <c:pt idx="412">
                  <c:v>38108</c:v>
                </c:pt>
                <c:pt idx="413">
                  <c:v>38139</c:v>
                </c:pt>
                <c:pt idx="414">
                  <c:v>38169</c:v>
                </c:pt>
                <c:pt idx="415">
                  <c:v>38200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38353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38473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38626</c:v>
                </c:pt>
                <c:pt idx="430">
                  <c:v>38657</c:v>
                </c:pt>
                <c:pt idx="431">
                  <c:v>38687</c:v>
                </c:pt>
                <c:pt idx="432">
                  <c:v>38718</c:v>
                </c:pt>
                <c:pt idx="433">
                  <c:v>38749</c:v>
                </c:pt>
                <c:pt idx="434">
                  <c:v>38777</c:v>
                </c:pt>
                <c:pt idx="435">
                  <c:v>38808</c:v>
                </c:pt>
                <c:pt idx="436">
                  <c:v>38838</c:v>
                </c:pt>
                <c:pt idx="437">
                  <c:v>38869</c:v>
                </c:pt>
                <c:pt idx="438">
                  <c:v>38899</c:v>
                </c:pt>
                <c:pt idx="439">
                  <c:v>38930</c:v>
                </c:pt>
                <c:pt idx="440">
                  <c:v>38961</c:v>
                </c:pt>
                <c:pt idx="441">
                  <c:v>38991</c:v>
                </c:pt>
                <c:pt idx="442">
                  <c:v>39022</c:v>
                </c:pt>
                <c:pt idx="443">
                  <c:v>39052</c:v>
                </c:pt>
                <c:pt idx="444">
                  <c:v>39083</c:v>
                </c:pt>
                <c:pt idx="445">
                  <c:v>39114</c:v>
                </c:pt>
                <c:pt idx="446">
                  <c:v>39142</c:v>
                </c:pt>
                <c:pt idx="447">
                  <c:v>39173</c:v>
                </c:pt>
                <c:pt idx="448">
                  <c:v>39203</c:v>
                </c:pt>
                <c:pt idx="449">
                  <c:v>39234</c:v>
                </c:pt>
                <c:pt idx="450">
                  <c:v>39264</c:v>
                </c:pt>
                <c:pt idx="451">
                  <c:v>39295</c:v>
                </c:pt>
                <c:pt idx="452">
                  <c:v>39326</c:v>
                </c:pt>
                <c:pt idx="453">
                  <c:v>39356</c:v>
                </c:pt>
                <c:pt idx="454">
                  <c:v>39387</c:v>
                </c:pt>
                <c:pt idx="455">
                  <c:v>39417</c:v>
                </c:pt>
                <c:pt idx="456">
                  <c:v>39448</c:v>
                </c:pt>
                <c:pt idx="457">
                  <c:v>39479</c:v>
                </c:pt>
                <c:pt idx="458">
                  <c:v>39508</c:v>
                </c:pt>
                <c:pt idx="459">
                  <c:v>39539</c:v>
                </c:pt>
                <c:pt idx="460">
                  <c:v>39569</c:v>
                </c:pt>
                <c:pt idx="461">
                  <c:v>39600</c:v>
                </c:pt>
                <c:pt idx="462">
                  <c:v>39630</c:v>
                </c:pt>
                <c:pt idx="463">
                  <c:v>39661</c:v>
                </c:pt>
                <c:pt idx="464">
                  <c:v>39692</c:v>
                </c:pt>
                <c:pt idx="465">
                  <c:v>39722</c:v>
                </c:pt>
                <c:pt idx="466">
                  <c:v>39753</c:v>
                </c:pt>
                <c:pt idx="467">
                  <c:v>39783</c:v>
                </c:pt>
                <c:pt idx="468">
                  <c:v>39814</c:v>
                </c:pt>
                <c:pt idx="469">
                  <c:v>39845</c:v>
                </c:pt>
                <c:pt idx="470">
                  <c:v>39873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40026</c:v>
                </c:pt>
                <c:pt idx="476">
                  <c:v>40057</c:v>
                </c:pt>
                <c:pt idx="477">
                  <c:v>40087</c:v>
                </c:pt>
                <c:pt idx="478">
                  <c:v>40118</c:v>
                </c:pt>
                <c:pt idx="479">
                  <c:v>40148</c:v>
                </c:pt>
                <c:pt idx="480">
                  <c:v>40179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40299</c:v>
                </c:pt>
                <c:pt idx="485">
                  <c:v>40330</c:v>
                </c:pt>
                <c:pt idx="486">
                  <c:v>40360</c:v>
                </c:pt>
                <c:pt idx="487">
                  <c:v>40391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40544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40664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40817</c:v>
                </c:pt>
                <c:pt idx="502">
                  <c:v>40848</c:v>
                </c:pt>
                <c:pt idx="503">
                  <c:v>40878</c:v>
                </c:pt>
                <c:pt idx="504">
                  <c:v>40909</c:v>
                </c:pt>
                <c:pt idx="505">
                  <c:v>40940</c:v>
                </c:pt>
                <c:pt idx="506">
                  <c:v>40969</c:v>
                </c:pt>
                <c:pt idx="507">
                  <c:v>41000</c:v>
                </c:pt>
                <c:pt idx="508">
                  <c:v>41030</c:v>
                </c:pt>
                <c:pt idx="509">
                  <c:v>41061</c:v>
                </c:pt>
                <c:pt idx="510">
                  <c:v>41091</c:v>
                </c:pt>
                <c:pt idx="511">
                  <c:v>41122</c:v>
                </c:pt>
                <c:pt idx="512">
                  <c:v>41153</c:v>
                </c:pt>
                <c:pt idx="513">
                  <c:v>41183</c:v>
                </c:pt>
                <c:pt idx="514">
                  <c:v>41214</c:v>
                </c:pt>
                <c:pt idx="515">
                  <c:v>41244</c:v>
                </c:pt>
                <c:pt idx="516">
                  <c:v>41275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41426</c:v>
                </c:pt>
                <c:pt idx="522">
                  <c:v>41456</c:v>
                </c:pt>
                <c:pt idx="523">
                  <c:v>41487</c:v>
                </c:pt>
                <c:pt idx="524">
                  <c:v>41518</c:v>
                </c:pt>
                <c:pt idx="525">
                  <c:v>41548</c:v>
                </c:pt>
                <c:pt idx="526">
                  <c:v>41579</c:v>
                </c:pt>
                <c:pt idx="527">
                  <c:v>41609</c:v>
                </c:pt>
                <c:pt idx="528">
                  <c:v>41640</c:v>
                </c:pt>
                <c:pt idx="529">
                  <c:v>41671</c:v>
                </c:pt>
                <c:pt idx="530">
                  <c:v>41699</c:v>
                </c:pt>
                <c:pt idx="531">
                  <c:v>41730</c:v>
                </c:pt>
                <c:pt idx="532">
                  <c:v>41760</c:v>
                </c:pt>
                <c:pt idx="533">
                  <c:v>41791</c:v>
                </c:pt>
                <c:pt idx="534">
                  <c:v>41821</c:v>
                </c:pt>
                <c:pt idx="535">
                  <c:v>41852</c:v>
                </c:pt>
                <c:pt idx="536">
                  <c:v>41883</c:v>
                </c:pt>
                <c:pt idx="537">
                  <c:v>41913</c:v>
                </c:pt>
                <c:pt idx="538">
                  <c:v>41944</c:v>
                </c:pt>
                <c:pt idx="539">
                  <c:v>41974</c:v>
                </c:pt>
                <c:pt idx="540">
                  <c:v>42005</c:v>
                </c:pt>
                <c:pt idx="541">
                  <c:v>42036</c:v>
                </c:pt>
                <c:pt idx="542">
                  <c:v>42064</c:v>
                </c:pt>
                <c:pt idx="543">
                  <c:v>42095</c:v>
                </c:pt>
                <c:pt idx="544">
                  <c:v>42125</c:v>
                </c:pt>
                <c:pt idx="545">
                  <c:v>42156</c:v>
                </c:pt>
                <c:pt idx="546">
                  <c:v>42186</c:v>
                </c:pt>
                <c:pt idx="547">
                  <c:v>42217</c:v>
                </c:pt>
                <c:pt idx="548">
                  <c:v>42248</c:v>
                </c:pt>
                <c:pt idx="549">
                  <c:v>42278</c:v>
                </c:pt>
                <c:pt idx="550">
                  <c:v>42309</c:v>
                </c:pt>
                <c:pt idx="551">
                  <c:v>42339</c:v>
                </c:pt>
                <c:pt idx="552">
                  <c:v>42370</c:v>
                </c:pt>
                <c:pt idx="553">
                  <c:v>42401</c:v>
                </c:pt>
                <c:pt idx="554">
                  <c:v>42430</c:v>
                </c:pt>
                <c:pt idx="555">
                  <c:v>42461</c:v>
                </c:pt>
                <c:pt idx="556">
                  <c:v>42491</c:v>
                </c:pt>
                <c:pt idx="557">
                  <c:v>42522</c:v>
                </c:pt>
                <c:pt idx="558">
                  <c:v>42552</c:v>
                </c:pt>
                <c:pt idx="559">
                  <c:v>42583</c:v>
                </c:pt>
                <c:pt idx="560">
                  <c:v>42614</c:v>
                </c:pt>
                <c:pt idx="561">
                  <c:v>42644</c:v>
                </c:pt>
                <c:pt idx="562">
                  <c:v>42675</c:v>
                </c:pt>
                <c:pt idx="563">
                  <c:v>42705</c:v>
                </c:pt>
                <c:pt idx="564">
                  <c:v>42736</c:v>
                </c:pt>
                <c:pt idx="565">
                  <c:v>42767</c:v>
                </c:pt>
                <c:pt idx="566">
                  <c:v>42795</c:v>
                </c:pt>
                <c:pt idx="567">
                  <c:v>42826</c:v>
                </c:pt>
                <c:pt idx="568">
                  <c:v>42856</c:v>
                </c:pt>
                <c:pt idx="569">
                  <c:v>42887</c:v>
                </c:pt>
                <c:pt idx="570">
                  <c:v>42917</c:v>
                </c:pt>
                <c:pt idx="571">
                  <c:v>42948</c:v>
                </c:pt>
                <c:pt idx="572">
                  <c:v>42979</c:v>
                </c:pt>
                <c:pt idx="573">
                  <c:v>43009</c:v>
                </c:pt>
                <c:pt idx="574">
                  <c:v>43040</c:v>
                </c:pt>
                <c:pt idx="575">
                  <c:v>43070</c:v>
                </c:pt>
                <c:pt idx="576">
                  <c:v>43101</c:v>
                </c:pt>
                <c:pt idx="577">
                  <c:v>43132</c:v>
                </c:pt>
                <c:pt idx="578">
                  <c:v>43160</c:v>
                </c:pt>
                <c:pt idx="579">
                  <c:v>43191</c:v>
                </c:pt>
                <c:pt idx="580">
                  <c:v>43221</c:v>
                </c:pt>
                <c:pt idx="581">
                  <c:v>43252</c:v>
                </c:pt>
                <c:pt idx="582">
                  <c:v>43282</c:v>
                </c:pt>
                <c:pt idx="583">
                  <c:v>43313</c:v>
                </c:pt>
                <c:pt idx="584">
                  <c:v>43344</c:v>
                </c:pt>
                <c:pt idx="585">
                  <c:v>43374</c:v>
                </c:pt>
                <c:pt idx="586">
                  <c:v>43405</c:v>
                </c:pt>
                <c:pt idx="587">
                  <c:v>43435</c:v>
                </c:pt>
                <c:pt idx="588">
                  <c:v>43466</c:v>
                </c:pt>
                <c:pt idx="589">
                  <c:v>43497</c:v>
                </c:pt>
                <c:pt idx="590">
                  <c:v>43525</c:v>
                </c:pt>
                <c:pt idx="591">
                  <c:v>43556</c:v>
                </c:pt>
                <c:pt idx="592">
                  <c:v>43586</c:v>
                </c:pt>
                <c:pt idx="593">
                  <c:v>43617</c:v>
                </c:pt>
                <c:pt idx="594">
                  <c:v>43647</c:v>
                </c:pt>
                <c:pt idx="595">
                  <c:v>43678</c:v>
                </c:pt>
                <c:pt idx="596">
                  <c:v>43709</c:v>
                </c:pt>
                <c:pt idx="597">
                  <c:v>43739</c:v>
                </c:pt>
                <c:pt idx="598">
                  <c:v>43770</c:v>
                </c:pt>
                <c:pt idx="599">
                  <c:v>43800</c:v>
                </c:pt>
                <c:pt idx="600">
                  <c:v>43831</c:v>
                </c:pt>
                <c:pt idx="601">
                  <c:v>43862</c:v>
                </c:pt>
                <c:pt idx="602">
                  <c:v>43891</c:v>
                </c:pt>
                <c:pt idx="603">
                  <c:v>43922</c:v>
                </c:pt>
                <c:pt idx="604">
                  <c:v>43952</c:v>
                </c:pt>
                <c:pt idx="605">
                  <c:v>43983</c:v>
                </c:pt>
                <c:pt idx="606">
                  <c:v>44013</c:v>
                </c:pt>
                <c:pt idx="607">
                  <c:v>44044</c:v>
                </c:pt>
                <c:pt idx="608">
                  <c:v>44075</c:v>
                </c:pt>
                <c:pt idx="609">
                  <c:v>44105</c:v>
                </c:pt>
                <c:pt idx="610">
                  <c:v>44136</c:v>
                </c:pt>
                <c:pt idx="611">
                  <c:v>44166</c:v>
                </c:pt>
                <c:pt idx="612">
                  <c:v>44197</c:v>
                </c:pt>
                <c:pt idx="613">
                  <c:v>44228</c:v>
                </c:pt>
                <c:pt idx="614">
                  <c:v>44256</c:v>
                </c:pt>
                <c:pt idx="615">
                  <c:v>44287</c:v>
                </c:pt>
                <c:pt idx="616">
                  <c:v>44317</c:v>
                </c:pt>
                <c:pt idx="617">
                  <c:v>44348</c:v>
                </c:pt>
                <c:pt idx="618">
                  <c:v>44378</c:v>
                </c:pt>
                <c:pt idx="619">
                  <c:v>44409</c:v>
                </c:pt>
                <c:pt idx="620">
                  <c:v>44440</c:v>
                </c:pt>
                <c:pt idx="621">
                  <c:v>44470</c:v>
                </c:pt>
                <c:pt idx="622">
                  <c:v>44501</c:v>
                </c:pt>
                <c:pt idx="623">
                  <c:v>44531</c:v>
                </c:pt>
                <c:pt idx="624">
                  <c:v>44562</c:v>
                </c:pt>
                <c:pt idx="625">
                  <c:v>44593</c:v>
                </c:pt>
                <c:pt idx="626">
                  <c:v>44621</c:v>
                </c:pt>
                <c:pt idx="627">
                  <c:v>44652</c:v>
                </c:pt>
                <c:pt idx="628">
                  <c:v>44682</c:v>
                </c:pt>
                <c:pt idx="629">
                  <c:v>44713</c:v>
                </c:pt>
                <c:pt idx="630">
                  <c:v>44743</c:v>
                </c:pt>
                <c:pt idx="631">
                  <c:v>44774</c:v>
                </c:pt>
                <c:pt idx="632">
                  <c:v>44805</c:v>
                </c:pt>
                <c:pt idx="633">
                  <c:v>44835</c:v>
                </c:pt>
                <c:pt idx="634">
                  <c:v>44866</c:v>
                </c:pt>
                <c:pt idx="635">
                  <c:v>44896</c:v>
                </c:pt>
                <c:pt idx="636">
                  <c:v>44927</c:v>
                </c:pt>
                <c:pt idx="637">
                  <c:v>44958</c:v>
                </c:pt>
                <c:pt idx="638">
                  <c:v>44986</c:v>
                </c:pt>
                <c:pt idx="639">
                  <c:v>45017</c:v>
                </c:pt>
                <c:pt idx="640">
                  <c:v>45047</c:v>
                </c:pt>
                <c:pt idx="641">
                  <c:v>45078</c:v>
                </c:pt>
                <c:pt idx="642">
                  <c:v>45108</c:v>
                </c:pt>
                <c:pt idx="643">
                  <c:v>45139</c:v>
                </c:pt>
                <c:pt idx="644">
                  <c:v>45170</c:v>
                </c:pt>
                <c:pt idx="645">
                  <c:v>45200</c:v>
                </c:pt>
                <c:pt idx="646">
                  <c:v>45231</c:v>
                </c:pt>
                <c:pt idx="647">
                  <c:v>45261</c:v>
                </c:pt>
                <c:pt idx="648">
                  <c:v>45292</c:v>
                </c:pt>
                <c:pt idx="649">
                  <c:v>45323</c:v>
                </c:pt>
                <c:pt idx="650">
                  <c:v>45352</c:v>
                </c:pt>
                <c:pt idx="651">
                  <c:v>45383</c:v>
                </c:pt>
                <c:pt idx="652">
                  <c:v>45413</c:v>
                </c:pt>
                <c:pt idx="653">
                  <c:v>45444</c:v>
                </c:pt>
                <c:pt idx="654">
                  <c:v>45474</c:v>
                </c:pt>
                <c:pt idx="655">
                  <c:v>45505</c:v>
                </c:pt>
                <c:pt idx="656">
                  <c:v>45536</c:v>
                </c:pt>
                <c:pt idx="657">
                  <c:v>45566</c:v>
                </c:pt>
                <c:pt idx="658">
                  <c:v>45597</c:v>
                </c:pt>
                <c:pt idx="659">
                  <c:v>45627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660"/>
                <c:pt idx="0">
                  <c:v>0.941612</c:v>
                </c:pt>
                <c:pt idx="1">
                  <c:v>1.006199050304</c:v>
                </c:pt>
                <c:pt idx="2">
                  <c:v>1.00985859624996</c:v>
                </c:pt>
                <c:pt idx="3">
                  <c:v>0.89998598097796</c:v>
                </c:pt>
                <c:pt idx="4">
                  <c:v>0.825901834981798</c:v>
                </c:pt>
                <c:pt idx="5">
                  <c:v>0.777294208385779</c:v>
                </c:pt>
                <c:pt idx="6">
                  <c:v>0.840956935935199</c:v>
                </c:pt>
                <c:pt idx="7">
                  <c:v>0.893720256009646</c:v>
                </c:pt>
                <c:pt idx="8">
                  <c:v>0.952035502714275</c:v>
                </c:pt>
                <c:pt idx="9">
                  <c:v>0.921415184840476</c:v>
                </c:pt>
                <c:pt idx="10">
                  <c:v>0.964663649371333</c:v>
                </c:pt>
                <c:pt idx="11">
                  <c:v>1.04618255106146</c:v>
                </c:pt>
                <c:pt idx="12">
                  <c:v>1.1339938834848</c:v>
                </c:pt>
                <c:pt idx="13">
                  <c:v>1.15792228842021</c:v>
                </c:pt>
                <c:pt idx="14">
                  <c:v>1.20410949266072</c:v>
                </c:pt>
                <c:pt idx="15">
                  <c:v>1.25392831881006</c:v>
                </c:pt>
                <c:pt idx="16">
                  <c:v>1.20239813454856</c:v>
                </c:pt>
                <c:pt idx="17">
                  <c:v>1.19560819228277</c:v>
                </c:pt>
                <c:pt idx="18">
                  <c:v>1.14435725151238</c:v>
                </c:pt>
                <c:pt idx="19">
                  <c:v>1.20462825923503</c:v>
                </c:pt>
                <c:pt idx="20">
                  <c:v>1.18756831382774</c:v>
                </c:pt>
                <c:pt idx="21">
                  <c:v>1.12227462036518</c:v>
                </c:pt>
                <c:pt idx="22">
                  <c:v>1.10288957084761</c:v>
                </c:pt>
                <c:pt idx="23">
                  <c:v>1.22307034449331</c:v>
                </c:pt>
                <c:pt idx="24">
                  <c:v>1.26971702436194</c:v>
                </c:pt>
                <c:pt idx="25">
                  <c:v>1.30473328045979</c:v>
                </c:pt>
                <c:pt idx="26">
                  <c:v>1.30640464379206</c:v>
                </c:pt>
                <c:pt idx="27">
                  <c:v>1.31250555347857</c:v>
                </c:pt>
                <c:pt idx="28">
                  <c:v>1.3137458712266</c:v>
                </c:pt>
                <c:pt idx="29">
                  <c:v>1.27299347430116</c:v>
                </c:pt>
                <c:pt idx="30">
                  <c:v>1.24724590828994</c:v>
                </c:pt>
                <c:pt idx="31">
                  <c:v>1.29838922675937</c:v>
                </c:pt>
                <c:pt idx="32">
                  <c:v>1.27056734240837</c:v>
                </c:pt>
                <c:pt idx="33">
                  <c:v>1.27458360577772</c:v>
                </c:pt>
                <c:pt idx="34">
                  <c:v>1.36764605316998</c:v>
                </c:pt>
                <c:pt idx="35">
                  <c:v>1.3514544915465</c:v>
                </c:pt>
                <c:pt idx="36">
                  <c:v>1.28517375746309</c:v>
                </c:pt>
                <c:pt idx="37">
                  <c:v>1.22341216220069</c:v>
                </c:pt>
                <c:pt idx="38">
                  <c:v>1.20683982105152</c:v>
                </c:pt>
                <c:pt idx="39">
                  <c:v>1.14785914531709</c:v>
                </c:pt>
                <c:pt idx="40">
                  <c:v>1.09403029069744</c:v>
                </c:pt>
                <c:pt idx="41">
                  <c:v>1.06476388639099</c:v>
                </c:pt>
                <c:pt idx="42">
                  <c:v>1.14377575534452</c:v>
                </c:pt>
                <c:pt idx="43">
                  <c:v>1.12040841666284</c:v>
                </c:pt>
                <c:pt idx="44">
                  <c:v>1.22696149790431</c:v>
                </c:pt>
                <c:pt idx="45">
                  <c:v>1.22741547365853</c:v>
                </c:pt>
                <c:pt idx="46">
                  <c:v>1.04217147554304</c:v>
                </c:pt>
                <c:pt idx="47">
                  <c:v>1.05281413065128</c:v>
                </c:pt>
                <c:pt idx="48">
                  <c:v>1.12713649139048</c:v>
                </c:pt>
                <c:pt idx="49">
                  <c:v>1.14432532288418</c:v>
                </c:pt>
                <c:pt idx="50">
                  <c:v>1.12059316001289</c:v>
                </c:pt>
                <c:pt idx="51">
                  <c:v>1.05953091813063</c:v>
                </c:pt>
                <c:pt idx="52">
                  <c:v>0.993801858093475</c:v>
                </c:pt>
                <c:pt idx="53">
                  <c:v>0.965550058871594</c:v>
                </c:pt>
                <c:pt idx="54">
                  <c:v>0.919186276144698</c:v>
                </c:pt>
                <c:pt idx="55">
                  <c:v>0.837818987794093</c:v>
                </c:pt>
                <c:pt idx="56">
                  <c:v>0.770388802199461</c:v>
                </c:pt>
                <c:pt idx="57">
                  <c:v>0.875580000418182</c:v>
                </c:pt>
                <c:pt idx="58">
                  <c:v>0.840236338121302</c:v>
                </c:pt>
                <c:pt idx="59">
                  <c:v>0.811182646021743</c:v>
                </c:pt>
                <c:pt idx="60">
                  <c:v>0.998805136133343</c:v>
                </c:pt>
                <c:pt idx="61">
                  <c:v>1.04584985685036</c:v>
                </c:pt>
                <c:pt idx="62">
                  <c:v>1.11762548667614</c:v>
                </c:pt>
                <c:pt idx="63">
                  <c:v>1.16577949839507</c:v>
                </c:pt>
                <c:pt idx="64">
                  <c:v>1.23460478842132</c:v>
                </c:pt>
                <c:pt idx="65">
                  <c:v>1.31365900223351</c:v>
                </c:pt>
                <c:pt idx="66">
                  <c:v>1.24171121234019</c:v>
                </c:pt>
                <c:pt idx="67">
                  <c:v>1.20674834973432</c:v>
                </c:pt>
                <c:pt idx="68">
                  <c:v>1.16385085939797</c:v>
                </c:pt>
                <c:pt idx="69">
                  <c:v>1.21973897766626</c:v>
                </c:pt>
                <c:pt idx="70">
                  <c:v>1.26277746749321</c:v>
                </c:pt>
                <c:pt idx="71">
                  <c:v>1.25998799206752</c:v>
                </c:pt>
                <c:pt idx="72">
                  <c:v>1.46190484776032</c:v>
                </c:pt>
                <c:pt idx="73">
                  <c:v>1.51411093177868</c:v>
                </c:pt>
                <c:pt idx="74">
                  <c:v>1.54336204086972</c:v>
                </c:pt>
                <c:pt idx="75">
                  <c:v>1.53002121938844</c:v>
                </c:pt>
                <c:pt idx="76">
                  <c:v>1.50483554009609</c:v>
                </c:pt>
                <c:pt idx="77">
                  <c:v>1.58623510413096</c:v>
                </c:pt>
                <c:pt idx="78">
                  <c:v>1.57662886434035</c:v>
                </c:pt>
                <c:pt idx="79">
                  <c:v>1.56012786664616</c:v>
                </c:pt>
                <c:pt idx="80">
                  <c:v>1.59114320863509</c:v>
                </c:pt>
                <c:pt idx="81">
                  <c:v>1.55285393846249</c:v>
                </c:pt>
                <c:pt idx="82">
                  <c:v>1.58853231055261</c:v>
                </c:pt>
                <c:pt idx="83">
                  <c:v>1.70727668929872</c:v>
                </c:pt>
                <c:pt idx="84">
                  <c:v>1.64925147645953</c:v>
                </c:pt>
                <c:pt idx="85">
                  <c:v>1.6180905190633</c:v>
                </c:pt>
                <c:pt idx="86">
                  <c:v>1.61931541358623</c:v>
                </c:pt>
                <c:pt idx="87">
                  <c:v>1.63266666917125</c:v>
                </c:pt>
                <c:pt idx="88">
                  <c:v>1.60983709113623</c:v>
                </c:pt>
                <c:pt idx="89">
                  <c:v>1.69462077137801</c:v>
                </c:pt>
                <c:pt idx="90">
                  <c:v>1.66477172111096</c:v>
                </c:pt>
                <c:pt idx="91">
                  <c:v>1.64045440058069</c:v>
                </c:pt>
                <c:pt idx="92">
                  <c:v>1.63727191904356</c:v>
                </c:pt>
                <c:pt idx="93">
                  <c:v>1.57620331373516</c:v>
                </c:pt>
                <c:pt idx="94">
                  <c:v>1.67528345403655</c:v>
                </c:pt>
                <c:pt idx="95">
                  <c:v>1.67749817876279</c:v>
                </c:pt>
                <c:pt idx="96">
                  <c:v>1.58992774133683</c:v>
                </c:pt>
                <c:pt idx="97">
                  <c:v>1.57385993158288</c:v>
                </c:pt>
                <c:pt idx="98">
                  <c:v>1.6570415766869</c:v>
                </c:pt>
                <c:pt idx="99">
                  <c:v>1.79680640551413</c:v>
                </c:pt>
                <c:pt idx="100">
                  <c:v>1.85715214864333</c:v>
                </c:pt>
                <c:pt idx="101">
                  <c:v>1.83461003586309</c:v>
                </c:pt>
                <c:pt idx="102">
                  <c:v>1.94746240299914</c:v>
                </c:pt>
                <c:pt idx="103">
                  <c:v>2.04591831224516</c:v>
                </c:pt>
                <c:pt idx="104">
                  <c:v>2.02864053209825</c:v>
                </c:pt>
                <c:pt idx="105">
                  <c:v>1.75942370436456</c:v>
                </c:pt>
                <c:pt idx="106">
                  <c:v>1.80997018796725</c:v>
                </c:pt>
                <c:pt idx="107">
                  <c:v>1.82639204748267</c:v>
                </c:pt>
                <c:pt idx="108">
                  <c:v>1.95193458404254</c:v>
                </c:pt>
                <c:pt idx="109">
                  <c:v>1.89221514544376</c:v>
                </c:pt>
                <c:pt idx="110">
                  <c:v>2.03025602473417</c:v>
                </c:pt>
                <c:pt idx="111">
                  <c:v>2.05204676264764</c:v>
                </c:pt>
                <c:pt idx="112">
                  <c:v>2.02550969391308</c:v>
                </c:pt>
                <c:pt idx="113">
                  <c:v>2.13037438178635</c:v>
                </c:pt>
                <c:pt idx="114">
                  <c:v>2.18858473139428</c:v>
                </c:pt>
                <c:pt idx="115">
                  <c:v>2.34593740782733</c:v>
                </c:pt>
                <c:pt idx="116">
                  <c:v>2.34367592416619</c:v>
                </c:pt>
                <c:pt idx="117">
                  <c:v>2.12936082295674</c:v>
                </c:pt>
                <c:pt idx="118">
                  <c:v>2.26948767063305</c:v>
                </c:pt>
                <c:pt idx="119">
                  <c:v>2.36106603711844</c:v>
                </c:pt>
                <c:pt idx="120">
                  <c:v>2.49984005451611</c:v>
                </c:pt>
                <c:pt idx="121">
                  <c:v>2.4207626140716</c:v>
                </c:pt>
                <c:pt idx="122">
                  <c:v>2.16484927356241</c:v>
                </c:pt>
                <c:pt idx="123">
                  <c:v>2.26430028434059</c:v>
                </c:pt>
                <c:pt idx="124">
                  <c:v>2.44860527028478</c:v>
                </c:pt>
                <c:pt idx="125">
                  <c:v>2.5287481207812</c:v>
                </c:pt>
                <c:pt idx="126">
                  <c:v>2.7604724835771</c:v>
                </c:pt>
                <c:pt idx="127">
                  <c:v>2.83473195385781</c:v>
                </c:pt>
                <c:pt idx="128">
                  <c:v>2.91580528773814</c:v>
                </c:pt>
                <c:pt idx="129">
                  <c:v>2.94201837727491</c:v>
                </c:pt>
                <c:pt idx="130">
                  <c:v>3.13232577802732</c:v>
                </c:pt>
                <c:pt idx="131">
                  <c:v>3.09762587305833</c:v>
                </c:pt>
                <c:pt idx="132">
                  <c:v>3.06242445263689</c:v>
                </c:pt>
                <c:pt idx="133">
                  <c:v>3.14876032280563</c:v>
                </c:pt>
                <c:pt idx="134">
                  <c:v>3.40706572712667</c:v>
                </c:pt>
                <c:pt idx="135">
                  <c:v>3.4093177975723</c:v>
                </c:pt>
                <c:pt idx="136">
                  <c:v>3.46745007533871</c:v>
                </c:pt>
                <c:pt idx="137">
                  <c:v>3.43708561502897</c:v>
                </c:pt>
                <c:pt idx="138">
                  <c:v>3.37653104066338</c:v>
                </c:pt>
                <c:pt idx="139">
                  <c:v>3.16526486998012</c:v>
                </c:pt>
                <c:pt idx="140">
                  <c:v>3.00263356096054</c:v>
                </c:pt>
                <c:pt idx="141">
                  <c:v>3.17915238274229</c:v>
                </c:pt>
                <c:pt idx="142">
                  <c:v>3.31375133632283</c:v>
                </c:pt>
                <c:pt idx="143">
                  <c:v>3.24817551112834</c:v>
                </c:pt>
                <c:pt idx="144">
                  <c:v>3.18467692806129</c:v>
                </c:pt>
                <c:pt idx="145">
                  <c:v>3.06804768960183</c:v>
                </c:pt>
                <c:pt idx="146">
                  <c:v>3.058082670706</c:v>
                </c:pt>
                <c:pt idx="147">
                  <c:v>3.20369327707167</c:v>
                </c:pt>
                <c:pt idx="148">
                  <c:v>3.06282047629227</c:v>
                </c:pt>
                <c:pt idx="149">
                  <c:v>3.04069159835106</c:v>
                </c:pt>
                <c:pt idx="150">
                  <c:v>2.99478323659916</c:v>
                </c:pt>
                <c:pt idx="151">
                  <c:v>3.38209256302205</c:v>
                </c:pt>
                <c:pt idx="152">
                  <c:v>3.43713611948524</c:v>
                </c:pt>
                <c:pt idx="153">
                  <c:v>3.93180187552931</c:v>
                </c:pt>
                <c:pt idx="154">
                  <c:v>4.16794982797548</c:v>
                </c:pt>
                <c:pt idx="155">
                  <c:v>4.23243634771391</c:v>
                </c:pt>
                <c:pt idx="156">
                  <c:v>4.381680518207</c:v>
                </c:pt>
                <c:pt idx="157">
                  <c:v>4.56129436600934</c:v>
                </c:pt>
                <c:pt idx="158">
                  <c:v>4.79585436748701</c:v>
                </c:pt>
                <c:pt idx="159">
                  <c:v>5.12547823401876</c:v>
                </c:pt>
                <c:pt idx="160">
                  <c:v>5.25765406671763</c:v>
                </c:pt>
                <c:pt idx="161">
                  <c:v>5.42396943781011</c:v>
                </c:pt>
                <c:pt idx="162">
                  <c:v>5.2801854319832</c:v>
                </c:pt>
                <c:pt idx="163">
                  <c:v>5.30406243050663</c:v>
                </c:pt>
                <c:pt idx="164">
                  <c:v>5.44201579026168</c:v>
                </c:pt>
                <c:pt idx="165">
                  <c:v>5.33961882115211</c:v>
                </c:pt>
                <c:pt idx="166">
                  <c:v>5.59148864094586</c:v>
                </c:pt>
                <c:pt idx="167">
                  <c:v>5.54322850248586</c:v>
                </c:pt>
                <c:pt idx="168">
                  <c:v>5.46613328047328</c:v>
                </c:pt>
                <c:pt idx="169">
                  <c:v>5.20695110484636</c:v>
                </c:pt>
                <c:pt idx="170">
                  <c:v>5.32423247153192</c:v>
                </c:pt>
                <c:pt idx="171">
                  <c:v>5.27645813356486</c:v>
                </c:pt>
                <c:pt idx="172">
                  <c:v>4.96625515989259</c:v>
                </c:pt>
                <c:pt idx="173">
                  <c:v>5.12300507150428</c:v>
                </c:pt>
                <c:pt idx="174">
                  <c:v>4.97217355618905</c:v>
                </c:pt>
                <c:pt idx="175">
                  <c:v>5.60988464781163</c:v>
                </c:pt>
                <c:pt idx="176">
                  <c:v>5.62946314523249</c:v>
                </c:pt>
                <c:pt idx="177">
                  <c:v>5.63289711775108</c:v>
                </c:pt>
                <c:pt idx="178">
                  <c:v>5.61590830004395</c:v>
                </c:pt>
                <c:pt idx="179">
                  <c:v>5.75473916912933</c:v>
                </c:pt>
                <c:pt idx="180">
                  <c:v>6.29982806322926</c:v>
                </c:pt>
                <c:pt idx="181">
                  <c:v>6.36150337996828</c:v>
                </c:pt>
                <c:pt idx="182">
                  <c:v>6.33864649832405</c:v>
                </c:pt>
                <c:pt idx="183">
                  <c:v>6.26497241007403</c:v>
                </c:pt>
                <c:pt idx="184">
                  <c:v>6.68281474496392</c:v>
                </c:pt>
                <c:pt idx="185">
                  <c:v>6.77974229002487</c:v>
                </c:pt>
                <c:pt idx="186">
                  <c:v>6.84240744801157</c:v>
                </c:pt>
                <c:pt idx="187">
                  <c:v>6.78506123118979</c:v>
                </c:pt>
                <c:pt idx="188">
                  <c:v>6.47974026084748</c:v>
                </c:pt>
                <c:pt idx="189">
                  <c:v>6.75558928349202</c:v>
                </c:pt>
                <c:pt idx="190">
                  <c:v>7.25818485941597</c:v>
                </c:pt>
                <c:pt idx="191">
                  <c:v>7.57416993727065</c:v>
                </c:pt>
                <c:pt idx="192">
                  <c:v>7.70203707415165</c:v>
                </c:pt>
                <c:pt idx="193">
                  <c:v>8.32564020789742</c:v>
                </c:pt>
                <c:pt idx="194">
                  <c:v>8.82845892261317</c:v>
                </c:pt>
                <c:pt idx="195">
                  <c:v>8.65256953549795</c:v>
                </c:pt>
                <c:pt idx="196">
                  <c:v>9.15345813333839</c:v>
                </c:pt>
                <c:pt idx="197">
                  <c:v>9.1715270596936</c:v>
                </c:pt>
                <c:pt idx="198">
                  <c:v>8.48063592628688</c:v>
                </c:pt>
                <c:pt idx="199">
                  <c:v>9.14138771321167</c:v>
                </c:pt>
                <c:pt idx="200">
                  <c:v>8.49015525252247</c:v>
                </c:pt>
                <c:pt idx="201">
                  <c:v>9.02552746243603</c:v>
                </c:pt>
                <c:pt idx="202">
                  <c:v>9.22756389468266</c:v>
                </c:pt>
                <c:pt idx="203">
                  <c:v>8.92904297512579</c:v>
                </c:pt>
                <c:pt idx="204">
                  <c:v>10.1886898547557</c:v>
                </c:pt>
                <c:pt idx="205">
                  <c:v>10.7926244458964</c:v>
                </c:pt>
                <c:pt idx="206">
                  <c:v>11.0075055986141</c:v>
                </c:pt>
                <c:pt idx="207">
                  <c:v>10.8686239004764</c:v>
                </c:pt>
                <c:pt idx="208">
                  <c:v>11.0076118629157</c:v>
                </c:pt>
                <c:pt idx="209">
                  <c:v>11.4920238381671</c:v>
                </c:pt>
                <c:pt idx="210">
                  <c:v>12.2419358537267</c:v>
                </c:pt>
                <c:pt idx="211">
                  <c:v>12.6020568807357</c:v>
                </c:pt>
                <c:pt idx="212">
                  <c:v>12.395660393143</c:v>
                </c:pt>
                <c:pt idx="213">
                  <c:v>9.2215036362709</c:v>
                </c:pt>
                <c:pt idx="214">
                  <c:v>8.64716072529304</c:v>
                </c:pt>
                <c:pt idx="215">
                  <c:v>9.46593443288886</c:v>
                </c:pt>
                <c:pt idx="216">
                  <c:v>9.93994109961577</c:v>
                </c:pt>
                <c:pt idx="217">
                  <c:v>10.6889256014129</c:v>
                </c:pt>
                <c:pt idx="218">
                  <c:v>10.6073690990741</c:v>
                </c:pt>
                <c:pt idx="219">
                  <c:v>10.6435296203329</c:v>
                </c:pt>
                <c:pt idx="220">
                  <c:v>10.6921173330497</c:v>
                </c:pt>
                <c:pt idx="221">
                  <c:v>11.3368092397633</c:v>
                </c:pt>
                <c:pt idx="222">
                  <c:v>11.2157434538918</c:v>
                </c:pt>
                <c:pt idx="223">
                  <c:v>10.8420236662647</c:v>
                </c:pt>
                <c:pt idx="224">
                  <c:v>11.2937674243433</c:v>
                </c:pt>
                <c:pt idx="225">
                  <c:v>11.4496891774038</c:v>
                </c:pt>
                <c:pt idx="226">
                  <c:v>11.1865638704179</c:v>
                </c:pt>
                <c:pt idx="227">
                  <c:v>11.4963086374259</c:v>
                </c:pt>
                <c:pt idx="228">
                  <c:v>12.3138916187937</c:v>
                </c:pt>
                <c:pt idx="229">
                  <c:v>12.1761976827123</c:v>
                </c:pt>
                <c:pt idx="230">
                  <c:v>12.4203669748438</c:v>
                </c:pt>
                <c:pt idx="231">
                  <c:v>13.0368767303741</c:v>
                </c:pt>
                <c:pt idx="232">
                  <c:v>13.6527518239937</c:v>
                </c:pt>
                <c:pt idx="233">
                  <c:v>13.5605957491817</c:v>
                </c:pt>
                <c:pt idx="234">
                  <c:v>14.6838605768737</c:v>
                </c:pt>
                <c:pt idx="235">
                  <c:v>15.1122915769251</c:v>
                </c:pt>
                <c:pt idx="236">
                  <c:v>14.8758446629126</c:v>
                </c:pt>
                <c:pt idx="237">
                  <c:v>14.1815146132711</c:v>
                </c:pt>
                <c:pt idx="238">
                  <c:v>14.3558196093828</c:v>
                </c:pt>
                <c:pt idx="239">
                  <c:v>14.5749611957201</c:v>
                </c:pt>
                <c:pt idx="240">
                  <c:v>13.5082926606113</c:v>
                </c:pt>
                <c:pt idx="241">
                  <c:v>13.6977059402984</c:v>
                </c:pt>
                <c:pt idx="242">
                  <c:v>14.132580708491</c:v>
                </c:pt>
                <c:pt idx="243">
                  <c:v>13.5588544620491</c:v>
                </c:pt>
                <c:pt idx="244">
                  <c:v>14.8635281149508</c:v>
                </c:pt>
                <c:pt idx="245">
                  <c:v>14.6474570067438</c:v>
                </c:pt>
                <c:pt idx="246">
                  <c:v>14.2870563270928</c:v>
                </c:pt>
                <c:pt idx="247">
                  <c:v>12.6815626593921</c:v>
                </c:pt>
                <c:pt idx="248">
                  <c:v>11.747895290157</c:v>
                </c:pt>
                <c:pt idx="249">
                  <c:v>11.3206008426634</c:v>
                </c:pt>
                <c:pt idx="250">
                  <c:v>12.3633979892854</c:v>
                </c:pt>
                <c:pt idx="251">
                  <c:v>12.8815727258123</c:v>
                </c:pt>
                <c:pt idx="252">
                  <c:v>13.9386989915561</c:v>
                </c:pt>
                <c:pt idx="253">
                  <c:v>15.1261925134427</c:v>
                </c:pt>
                <c:pt idx="254">
                  <c:v>15.59288093106</c:v>
                </c:pt>
                <c:pt idx="255">
                  <c:v>15.6715626082381</c:v>
                </c:pt>
                <c:pt idx="256">
                  <c:v>16.525067251008</c:v>
                </c:pt>
                <c:pt idx="257">
                  <c:v>15.7030608307411</c:v>
                </c:pt>
                <c:pt idx="258">
                  <c:v>16.3617100142257</c:v>
                </c:pt>
                <c:pt idx="259">
                  <c:v>16.7320245969777</c:v>
                </c:pt>
                <c:pt idx="260">
                  <c:v>16.4107362606665</c:v>
                </c:pt>
                <c:pt idx="261">
                  <c:v>16.5878245156553</c:v>
                </c:pt>
                <c:pt idx="262">
                  <c:v>15.7450137398394</c:v>
                </c:pt>
                <c:pt idx="263">
                  <c:v>17.5339464559462</c:v>
                </c:pt>
                <c:pt idx="264">
                  <c:v>17.8469800020242</c:v>
                </c:pt>
                <c:pt idx="265">
                  <c:v>18.3892604893857</c:v>
                </c:pt>
                <c:pt idx="266">
                  <c:v>18.0166205148288</c:v>
                </c:pt>
                <c:pt idx="267">
                  <c:v>18.3156423655134</c:v>
                </c:pt>
                <c:pt idx="268">
                  <c:v>18.3509915552789</c:v>
                </c:pt>
                <c:pt idx="269">
                  <c:v>17.9756954269819</c:v>
                </c:pt>
                <c:pt idx="270">
                  <c:v>18.7089240434485</c:v>
                </c:pt>
                <c:pt idx="271">
                  <c:v>18.1957195480126</c:v>
                </c:pt>
                <c:pt idx="272">
                  <c:v>18.5412744579489</c:v>
                </c:pt>
                <c:pt idx="273">
                  <c:v>18.9194793743422</c:v>
                </c:pt>
                <c:pt idx="274">
                  <c:v>19.75626902759</c:v>
                </c:pt>
                <c:pt idx="275">
                  <c:v>20.2014172813196</c:v>
                </c:pt>
                <c:pt idx="276">
                  <c:v>20.6601106621093</c:v>
                </c:pt>
                <c:pt idx="277">
                  <c:v>20.8850372868876</c:v>
                </c:pt>
                <c:pt idx="278">
                  <c:v>21.45835244545</c:v>
                </c:pt>
                <c:pt idx="279">
                  <c:v>20.9874489010346</c:v>
                </c:pt>
                <c:pt idx="280">
                  <c:v>21.6512819097743</c:v>
                </c:pt>
                <c:pt idx="281">
                  <c:v>21.7265634169746</c:v>
                </c:pt>
                <c:pt idx="282">
                  <c:v>21.710898564751</c:v>
                </c:pt>
                <c:pt idx="283">
                  <c:v>22.5798121471094</c:v>
                </c:pt>
                <c:pt idx="284">
                  <c:v>22.43900443856</c:v>
                </c:pt>
                <c:pt idx="285">
                  <c:v>22.8803123388532</c:v>
                </c:pt>
                <c:pt idx="286">
                  <c:v>22.6842280621092</c:v>
                </c:pt>
                <c:pt idx="287">
                  <c:v>23.214108945412</c:v>
                </c:pt>
                <c:pt idx="288">
                  <c:v>24.0734720444623</c:v>
                </c:pt>
                <c:pt idx="289">
                  <c:v>23.6550991738015</c:v>
                </c:pt>
                <c:pt idx="290">
                  <c:v>22.6209218930221</c:v>
                </c:pt>
                <c:pt idx="291">
                  <c:v>22.7218564465088</c:v>
                </c:pt>
                <c:pt idx="292">
                  <c:v>22.9964955253777</c:v>
                </c:pt>
                <c:pt idx="293">
                  <c:v>22.4921133890196</c:v>
                </c:pt>
                <c:pt idx="294">
                  <c:v>23.251222215899</c:v>
                </c:pt>
                <c:pt idx="295">
                  <c:v>24.4656800546799</c:v>
                </c:pt>
                <c:pt idx="296">
                  <c:v>23.8295723732582</c:v>
                </c:pt>
                <c:pt idx="297">
                  <c:v>24.1156702191715</c:v>
                </c:pt>
                <c:pt idx="298">
                  <c:v>23.0686883966062</c:v>
                </c:pt>
                <c:pt idx="299">
                  <c:v>23.4504290521932</c:v>
                </c:pt>
                <c:pt idx="300">
                  <c:v>23.9464994283633</c:v>
                </c:pt>
                <c:pt idx="301">
                  <c:v>25.0132920313975</c:v>
                </c:pt>
                <c:pt idx="302">
                  <c:v>25.7501085747664</c:v>
                </c:pt>
                <c:pt idx="303">
                  <c:v>26.3629611588458</c:v>
                </c:pt>
                <c:pt idx="304">
                  <c:v>27.304356138867</c:v>
                </c:pt>
                <c:pt idx="305">
                  <c:v>28.0088904403182</c:v>
                </c:pt>
                <c:pt idx="306">
                  <c:v>28.9408022430485</c:v>
                </c:pt>
                <c:pt idx="307">
                  <c:v>29.1642252363648</c:v>
                </c:pt>
                <c:pt idx="308">
                  <c:v>29.8861273036406</c:v>
                </c:pt>
                <c:pt idx="309">
                  <c:v>29.165303799204</c:v>
                </c:pt>
                <c:pt idx="310">
                  <c:v>30.6523843093179</c:v>
                </c:pt>
                <c:pt idx="311">
                  <c:v>31.1011658679906</c:v>
                </c:pt>
                <c:pt idx="312">
                  <c:v>32.0552563333229</c:v>
                </c:pt>
                <c:pt idx="313">
                  <c:v>32.4679036481018</c:v>
                </c:pt>
                <c:pt idx="314">
                  <c:v>33.1046641744484</c:v>
                </c:pt>
                <c:pt idx="315">
                  <c:v>34.0451676836444</c:v>
                </c:pt>
                <c:pt idx="316">
                  <c:v>34.4912274706356</c:v>
                </c:pt>
                <c:pt idx="317">
                  <c:v>34.1693898271071</c:v>
                </c:pt>
                <c:pt idx="318">
                  <c:v>32.2589109030939</c:v>
                </c:pt>
                <c:pt idx="319">
                  <c:v>33.3226484901234</c:v>
                </c:pt>
                <c:pt idx="320">
                  <c:v>34.98391580795</c:v>
                </c:pt>
                <c:pt idx="321">
                  <c:v>35.4616211783075</c:v>
                </c:pt>
                <c:pt idx="322">
                  <c:v>37.9444311234856</c:v>
                </c:pt>
                <c:pt idx="323">
                  <c:v>37.3068887917488</c:v>
                </c:pt>
                <c:pt idx="324">
                  <c:v>38.7673788741681</c:v>
                </c:pt>
                <c:pt idx="325">
                  <c:v>39.2890714916778</c:v>
                </c:pt>
                <c:pt idx="326">
                  <c:v>37.9083356522458</c:v>
                </c:pt>
                <c:pt idx="327">
                  <c:v>39.1266337434377</c:v>
                </c:pt>
                <c:pt idx="328">
                  <c:v>42.0179745971765</c:v>
                </c:pt>
                <c:pt idx="329">
                  <c:v>43.6491123710389</c:v>
                </c:pt>
                <c:pt idx="330">
                  <c:v>47.1308274684272</c:v>
                </c:pt>
                <c:pt idx="331">
                  <c:v>45.8107872526915</c:v>
                </c:pt>
                <c:pt idx="332">
                  <c:v>48.1776015761018</c:v>
                </c:pt>
                <c:pt idx="333">
                  <c:v>46.0966182536236</c:v>
                </c:pt>
                <c:pt idx="334">
                  <c:v>47.5413784629287</c:v>
                </c:pt>
                <c:pt idx="335">
                  <c:v>48.2696648396023</c:v>
                </c:pt>
                <c:pt idx="336">
                  <c:v>48.1573895991854</c:v>
                </c:pt>
                <c:pt idx="337">
                  <c:v>51.9553221299251</c:v>
                </c:pt>
                <c:pt idx="338">
                  <c:v>54.5623882390827</c:v>
                </c:pt>
                <c:pt idx="339">
                  <c:v>54.792041331181</c:v>
                </c:pt>
                <c:pt idx="340">
                  <c:v>53.4259661567119</c:v>
                </c:pt>
                <c:pt idx="341">
                  <c:v>54.0048899259861</c:v>
                </c:pt>
                <c:pt idx="342">
                  <c:v>51.6043185638861</c:v>
                </c:pt>
                <c:pt idx="343">
                  <c:v>43.9433478471658</c:v>
                </c:pt>
                <c:pt idx="344">
                  <c:v>46.5949333996116</c:v>
                </c:pt>
                <c:pt idx="345">
                  <c:v>50.7344272828331</c:v>
                </c:pt>
                <c:pt idx="346">
                  <c:v>53.3071700903456</c:v>
                </c:pt>
                <c:pt idx="347">
                  <c:v>54.857449210913</c:v>
                </c:pt>
                <c:pt idx="348">
                  <c:v>55.4524879625038</c:v>
                </c:pt>
                <c:pt idx="349">
                  <c:v>54.3783178181821</c:v>
                </c:pt>
                <c:pt idx="350">
                  <c:v>55.5667559540985</c:v>
                </c:pt>
                <c:pt idx="351">
                  <c:v>60.9530638757531</c:v>
                </c:pt>
                <c:pt idx="352">
                  <c:v>60.8852840687233</c:v>
                </c:pt>
                <c:pt idx="353">
                  <c:v>63.396741151274</c:v>
                </c:pt>
                <c:pt idx="354">
                  <c:v>61.2060667607918</c:v>
                </c:pt>
                <c:pt idx="355">
                  <c:v>59.8452722784991</c:v>
                </c:pt>
                <c:pt idx="356">
                  <c:v>57.4871890149094</c:v>
                </c:pt>
                <c:pt idx="357">
                  <c:v>59.2675672587011</c:v>
                </c:pt>
                <c:pt idx="358">
                  <c:v>59.1649158322091</c:v>
                </c:pt>
                <c:pt idx="359">
                  <c:v>61.7803009365719</c:v>
                </c:pt>
                <c:pt idx="360">
                  <c:v>58.2434404882541</c:v>
                </c:pt>
                <c:pt idx="361">
                  <c:v>55.6167195656743</c:v>
                </c:pt>
                <c:pt idx="362">
                  <c:v>61.7312773314441</c:v>
                </c:pt>
                <c:pt idx="363">
                  <c:v>62.2296956646182</c:v>
                </c:pt>
                <c:pt idx="364">
                  <c:v>63.2662557053037</c:v>
                </c:pt>
                <c:pt idx="365">
                  <c:v>62.0259207622012</c:v>
                </c:pt>
                <c:pt idx="366">
                  <c:v>62.2657129718679</c:v>
                </c:pt>
                <c:pt idx="367">
                  <c:v>66.8823419944541</c:v>
                </c:pt>
                <c:pt idx="368">
                  <c:v>65.9584962044847</c:v>
                </c:pt>
                <c:pt idx="369">
                  <c:v>67.3500225989107</c:v>
                </c:pt>
                <c:pt idx="370">
                  <c:v>64.2887620217224</c:v>
                </c:pt>
                <c:pt idx="371">
                  <c:v>68.5801011754344</c:v>
                </c:pt>
                <c:pt idx="372">
                  <c:v>72.2431701195179</c:v>
                </c:pt>
                <c:pt idx="373">
                  <c:v>69.0103604998396</c:v>
                </c:pt>
                <c:pt idx="374">
                  <c:v>65.5711601739696</c:v>
                </c:pt>
                <c:pt idx="375">
                  <c:v>71.1259554369472</c:v>
                </c:pt>
                <c:pt idx="376">
                  <c:v>72.3831778252507</c:v>
                </c:pt>
                <c:pt idx="377">
                  <c:v>71.2393064660782</c:v>
                </c:pt>
                <c:pt idx="378">
                  <c:v>70.5853296327196</c:v>
                </c:pt>
                <c:pt idx="379">
                  <c:v>67.5036447262847</c:v>
                </c:pt>
                <c:pt idx="380">
                  <c:v>59.1013310599146</c:v>
                </c:pt>
                <c:pt idx="381">
                  <c:v>61.590501820165</c:v>
                </c:pt>
                <c:pt idx="382">
                  <c:v>67.8895472128188</c:v>
                </c:pt>
                <c:pt idx="383">
                  <c:v>69.9650664502091</c:v>
                </c:pt>
                <c:pt idx="384">
                  <c:v>69.7882647272894</c:v>
                </c:pt>
                <c:pt idx="385">
                  <c:v>69.0001458537241</c:v>
                </c:pt>
                <c:pt idx="386">
                  <c:v>73.6483406791602</c:v>
                </c:pt>
                <c:pt idx="387">
                  <c:v>70.9718126821982</c:v>
                </c:pt>
                <c:pt idx="388">
                  <c:v>70.1019821459652</c:v>
                </c:pt>
                <c:pt idx="389">
                  <c:v>64.4465047363394</c:v>
                </c:pt>
                <c:pt idx="390">
                  <c:v>57.6648634894392</c:v>
                </c:pt>
                <c:pt idx="391">
                  <c:v>58.3707390834134</c:v>
                </c:pt>
                <c:pt idx="392">
                  <c:v>51.6400675304441</c:v>
                </c:pt>
                <c:pt idx="393">
                  <c:v>55.4130457844209</c:v>
                </c:pt>
                <c:pt idx="394">
                  <c:v>61.5223894951991</c:v>
                </c:pt>
                <c:pt idx="395">
                  <c:v>58.3635839289576</c:v>
                </c:pt>
                <c:pt idx="396">
                  <c:v>56.873853449171</c:v>
                </c:pt>
                <c:pt idx="397">
                  <c:v>55.6053958956941</c:v>
                </c:pt>
                <c:pt idx="398">
                  <c:v>55.8881493338237</c:v>
                </c:pt>
                <c:pt idx="399">
                  <c:v>61.6730757832185</c:v>
                </c:pt>
                <c:pt idx="400">
                  <c:v>67.5981931929396</c:v>
                </c:pt>
                <c:pt idx="401">
                  <c:v>68.1152517726724</c:v>
                </c:pt>
                <c:pt idx="402">
                  <c:v>70.0476814654631</c:v>
                </c:pt>
                <c:pt idx="403">
                  <c:v>73.1720882495487</c:v>
                </c:pt>
                <c:pt idx="404">
                  <c:v>71.9602121239596</c:v>
                </c:pt>
                <c:pt idx="405">
                  <c:v>77.0685236622153</c:v>
                </c:pt>
                <c:pt idx="406">
                  <c:v>78.7075399549396</c:v>
                </c:pt>
                <c:pt idx="407">
                  <c:v>82.8921050241839</c:v>
                </c:pt>
                <c:pt idx="408">
                  <c:v>84.8990886710295</c:v>
                </c:pt>
                <c:pt idx="409">
                  <c:v>86.6736494224313</c:v>
                </c:pt>
                <c:pt idx="410">
                  <c:v>86.170075519287</c:v>
                </c:pt>
                <c:pt idx="411">
                  <c:v>84.0549448455906</c:v>
                </c:pt>
                <c:pt idx="412">
                  <c:v>85.683425347029</c:v>
                </c:pt>
                <c:pt idx="413">
                  <c:v>88.281346803551</c:v>
                </c:pt>
                <c:pt idx="414">
                  <c:v>84.4724480957117</c:v>
                </c:pt>
                <c:pt idx="415">
                  <c:v>84.2234233187256</c:v>
                </c:pt>
                <c:pt idx="416">
                  <c:v>86.5454630996229</c:v>
                </c:pt>
                <c:pt idx="417">
                  <c:v>88.6664327638053</c:v>
                </c:pt>
                <c:pt idx="418">
                  <c:v>93.8726596963977</c:v>
                </c:pt>
                <c:pt idx="419">
                  <c:v>97.4002065024689</c:v>
                </c:pt>
                <c:pt idx="420">
                  <c:v>94.5295302162216</c:v>
                </c:pt>
                <c:pt idx="421">
                  <c:v>96.4510319769268</c:v>
                </c:pt>
                <c:pt idx="422">
                  <c:v>95.216748120718</c:v>
                </c:pt>
                <c:pt idx="423">
                  <c:v>92.2687423821525</c:v>
                </c:pt>
                <c:pt idx="424">
                  <c:v>96.7495893184569</c:v>
                </c:pt>
                <c:pt idx="425">
                  <c:v>98.1523616139852</c:v>
                </c:pt>
                <c:pt idx="426">
                  <c:v>103.195724410797</c:v>
                </c:pt>
                <c:pt idx="427">
                  <c:v>102.185541464539</c:v>
                </c:pt>
                <c:pt idx="428">
                  <c:v>103.031739933407</c:v>
                </c:pt>
                <c:pt idx="429">
                  <c:v>100.61389409239</c:v>
                </c:pt>
                <c:pt idx="430">
                  <c:v>105.015148275567</c:v>
                </c:pt>
                <c:pt idx="431">
                  <c:v>105.857579795034</c:v>
                </c:pt>
                <c:pt idx="432">
                  <c:v>110.237754731793</c:v>
                </c:pt>
                <c:pt idx="433">
                  <c:v>110.563066346006</c:v>
                </c:pt>
                <c:pt idx="434">
                  <c:v>112.543803679595</c:v>
                </c:pt>
                <c:pt idx="435">
                  <c:v>113.729790282771</c:v>
                </c:pt>
                <c:pt idx="436">
                  <c:v>110.510782298607</c:v>
                </c:pt>
                <c:pt idx="437">
                  <c:v>110.294181165302</c:v>
                </c:pt>
                <c:pt idx="438">
                  <c:v>108.717636139725</c:v>
                </c:pt>
                <c:pt idx="439">
                  <c:v>112.024826631096</c:v>
                </c:pt>
                <c:pt idx="440">
                  <c:v>114.977128912131</c:v>
                </c:pt>
                <c:pt idx="441">
                  <c:v>119.204607987973</c:v>
                </c:pt>
                <c:pt idx="442">
                  <c:v>122.22513354978</c:v>
                </c:pt>
                <c:pt idx="443">
                  <c:v>123.235568728836</c:v>
                </c:pt>
                <c:pt idx="444">
                  <c:v>126.1716561538</c:v>
                </c:pt>
                <c:pt idx="445">
                  <c:v>125.787715804124</c:v>
                </c:pt>
                <c:pt idx="446">
                  <c:v>126.710871850411</c:v>
                </c:pt>
                <c:pt idx="447">
                  <c:v>132.196692336303</c:v>
                </c:pt>
                <c:pt idx="448">
                  <c:v>136.499694671849</c:v>
                </c:pt>
                <c:pt idx="449">
                  <c:v>133.978818310649</c:v>
                </c:pt>
                <c:pt idx="450">
                  <c:v>127.939187160024</c:v>
                </c:pt>
                <c:pt idx="451">
                  <c:v>128.053692732532</c:v>
                </c:pt>
                <c:pt idx="452">
                  <c:v>131.166421895474</c:v>
                </c:pt>
                <c:pt idx="453">
                  <c:v>132.930216770703</c:v>
                </c:pt>
                <c:pt idx="454">
                  <c:v>126.311222487039</c:v>
                </c:pt>
                <c:pt idx="455">
                  <c:v>124.199425158278</c:v>
                </c:pt>
                <c:pt idx="456">
                  <c:v>118.605731448</c:v>
                </c:pt>
                <c:pt idx="457">
                  <c:v>115.106743764552</c:v>
                </c:pt>
                <c:pt idx="458">
                  <c:v>113.641550023173</c:v>
                </c:pt>
                <c:pt idx="459">
                  <c:v>119.597390018338</c:v>
                </c:pt>
                <c:pt idx="460">
                  <c:v>122.668292201839</c:v>
                </c:pt>
                <c:pt idx="461">
                  <c:v>110.602270975989</c:v>
                </c:pt>
                <c:pt idx="462">
                  <c:v>110.199568107366</c:v>
                </c:pt>
                <c:pt idx="463">
                  <c:v>113.324717659322</c:v>
                </c:pt>
                <c:pt idx="464">
                  <c:v>101.60830174996</c:v>
                </c:pt>
                <c:pt idx="465">
                  <c:v>80.5182794221351</c:v>
                </c:pt>
                <c:pt idx="466">
                  <c:v>72.1737675342222</c:v>
                </c:pt>
                <c:pt idx="467">
                  <c:v>75.3499185221007</c:v>
                </c:pt>
                <c:pt idx="468">
                  <c:v>69.4423342101309</c:v>
                </c:pt>
                <c:pt idx="469">
                  <c:v>61.3218170899324</c:v>
                </c:pt>
                <c:pt idx="470">
                  <c:v>68.0327541086205</c:v>
                </c:pt>
                <c:pt idx="471">
                  <c:v>80.6090849348777</c:v>
                </c:pt>
                <c:pt idx="472">
                  <c:v>85.6461048252034</c:v>
                </c:pt>
                <c:pt idx="473">
                  <c:v>85.2477647916614</c:v>
                </c:pt>
                <c:pt idx="474">
                  <c:v>93.2549168430126</c:v>
                </c:pt>
                <c:pt idx="475">
                  <c:v>98.6477554291271</c:v>
                </c:pt>
                <c:pt idx="476">
                  <c:v>103.829426078553</c:v>
                </c:pt>
                <c:pt idx="477">
                  <c:v>100.252710008999</c:v>
                </c:pt>
                <c:pt idx="478">
                  <c:v>105.716683209909</c:v>
                </c:pt>
                <c:pt idx="479">
                  <c:v>110.814764541024</c:v>
                </c:pt>
                <c:pt idx="480">
                  <c:v>107.384493504657</c:v>
                </c:pt>
                <c:pt idx="481">
                  <c:v>112.041222065486</c:v>
                </c:pt>
                <c:pt idx="482">
                  <c:v>119.997717409245</c:v>
                </c:pt>
                <c:pt idx="483">
                  <c:v>123.363533384856</c:v>
                </c:pt>
                <c:pt idx="484">
                  <c:v>114.298040770537</c:v>
                </c:pt>
                <c:pt idx="485">
                  <c:v>107.229964227328</c:v>
                </c:pt>
                <c:pt idx="486">
                  <c:v>115.123590813958</c:v>
                </c:pt>
                <c:pt idx="487">
                  <c:v>109.564617984325</c:v>
                </c:pt>
                <c:pt idx="488">
                  <c:v>120.992974592415</c:v>
                </c:pt>
                <c:pt idx="489">
                  <c:v>125.342188057114</c:v>
                </c:pt>
                <c:pt idx="490">
                  <c:v>126.370620710123</c:v>
                </c:pt>
                <c:pt idx="491">
                  <c:v>135.486239064427</c:v>
                </c:pt>
                <c:pt idx="492">
                  <c:v>138.458129718305</c:v>
                </c:pt>
                <c:pt idx="493">
                  <c:v>144.150004972895</c:v>
                </c:pt>
                <c:pt idx="494">
                  <c:v>145.448364067686</c:v>
                </c:pt>
                <c:pt idx="495">
                  <c:v>150.048314029691</c:v>
                </c:pt>
                <c:pt idx="496">
                  <c:v>149.211194485719</c:v>
                </c:pt>
                <c:pt idx="497">
                  <c:v>146.361559093431</c:v>
                </c:pt>
                <c:pt idx="498">
                  <c:v>141.190166125983</c:v>
                </c:pt>
                <c:pt idx="499">
                  <c:v>132.228543901634</c:v>
                </c:pt>
                <c:pt idx="500">
                  <c:v>120.236208341019</c:v>
                </c:pt>
                <c:pt idx="501">
                  <c:v>136.401966552469</c:v>
                </c:pt>
                <c:pt idx="502">
                  <c:v>135.504168808621</c:v>
                </c:pt>
                <c:pt idx="503">
                  <c:v>135.660405115257</c:v>
                </c:pt>
                <c:pt idx="504">
                  <c:v>143.311380642948</c:v>
                </c:pt>
                <c:pt idx="505">
                  <c:v>149.325442731629</c:v>
                </c:pt>
                <c:pt idx="506">
                  <c:v>152.779489547454</c:v>
                </c:pt>
                <c:pt idx="507">
                  <c:v>151.587198411026</c:v>
                </c:pt>
                <c:pt idx="508">
                  <c:v>140.862100949049</c:v>
                </c:pt>
                <c:pt idx="509">
                  <c:v>146.256696829095</c:v>
                </c:pt>
                <c:pt idx="510">
                  <c:v>146.675868522207</c:v>
                </c:pt>
                <c:pt idx="511">
                  <c:v>151.192018514006</c:v>
                </c:pt>
                <c:pt idx="512">
                  <c:v>154.821987686508</c:v>
                </c:pt>
                <c:pt idx="513">
                  <c:v>153.648901485808</c:v>
                </c:pt>
                <c:pt idx="514">
                  <c:v>155.744672502074</c:v>
                </c:pt>
                <c:pt idx="515">
                  <c:v>159.55823655296</c:v>
                </c:pt>
                <c:pt idx="516">
                  <c:v>170.004673858319</c:v>
                </c:pt>
                <c:pt idx="517">
                  <c:v>172.042349879185</c:v>
                </c:pt>
                <c:pt idx="518">
                  <c:v>179.427267747749</c:v>
                </c:pt>
                <c:pt idx="519">
                  <c:v>182.250914660295</c:v>
                </c:pt>
                <c:pt idx="520">
                  <c:v>187.425747131159</c:v>
                </c:pt>
                <c:pt idx="521">
                  <c:v>185.458713915018</c:v>
                </c:pt>
                <c:pt idx="522">
                  <c:v>195.685649235148</c:v>
                </c:pt>
                <c:pt idx="523">
                  <c:v>190.239913302583</c:v>
                </c:pt>
                <c:pt idx="524">
                  <c:v>197.925986279834</c:v>
                </c:pt>
                <c:pt idx="525">
                  <c:v>206.402760420226</c:v>
                </c:pt>
                <c:pt idx="526">
                  <c:v>211.302555549842</c:v>
                </c:pt>
                <c:pt idx="527">
                  <c:v>217.586482249339</c:v>
                </c:pt>
                <c:pt idx="528">
                  <c:v>211.116548199655</c:v>
                </c:pt>
                <c:pt idx="529">
                  <c:v>222.499530245484</c:v>
                </c:pt>
                <c:pt idx="530">
                  <c:v>224.111984341173</c:v>
                </c:pt>
                <c:pt idx="531">
                  <c:v>224.864552384591</c:v>
                </c:pt>
                <c:pt idx="532">
                  <c:v>230.053301930865</c:v>
                </c:pt>
                <c:pt idx="533">
                  <c:v>236.566801068434</c:v>
                </c:pt>
                <c:pt idx="534">
                  <c:v>231.238370441168</c:v>
                </c:pt>
                <c:pt idx="535">
                  <c:v>241.130747928641</c:v>
                </c:pt>
                <c:pt idx="536">
                  <c:v>235.030863398291</c:v>
                </c:pt>
                <c:pt idx="537">
                  <c:v>242.052410442314</c:v>
                </c:pt>
                <c:pt idx="538">
                  <c:v>247.921213185899</c:v>
                </c:pt>
                <c:pt idx="539">
                  <c:v>248.781251874441</c:v>
                </c:pt>
                <c:pt idx="540">
                  <c:v>241.795723103058</c:v>
                </c:pt>
                <c:pt idx="541">
                  <c:v>255.959391175266</c:v>
                </c:pt>
                <c:pt idx="542">
                  <c:v>253.794230685315</c:v>
                </c:pt>
                <c:pt idx="543">
                  <c:v>254.79621030806</c:v>
                </c:pt>
                <c:pt idx="544">
                  <c:v>257.027205925518</c:v>
                </c:pt>
                <c:pt idx="545">
                  <c:v>251.392141462807</c:v>
                </c:pt>
                <c:pt idx="546">
                  <c:v>253.774333395308</c:v>
                </c:pt>
                <c:pt idx="547">
                  <c:v>240.149950758314</c:v>
                </c:pt>
                <c:pt idx="548">
                  <c:v>232.08259346249</c:v>
                </c:pt>
                <c:pt idx="549">
                  <c:v>249.171763149507</c:v>
                </c:pt>
                <c:pt idx="550">
                  <c:v>249.894112090878</c:v>
                </c:pt>
                <c:pt idx="551">
                  <c:v>243.576039254884</c:v>
                </c:pt>
                <c:pt idx="552">
                  <c:v>229.944793370063</c:v>
                </c:pt>
                <c:pt idx="553">
                  <c:v>232.665500165217</c:v>
                </c:pt>
                <c:pt idx="554">
                  <c:v>251.517222316104</c:v>
                </c:pt>
                <c:pt idx="555">
                  <c:v>254.741924623419</c:v>
                </c:pt>
                <c:pt idx="556">
                  <c:v>258.430587691966</c:v>
                </c:pt>
                <c:pt idx="557">
                  <c:v>258.402677188495</c:v>
                </c:pt>
                <c:pt idx="558">
                  <c:v>269.599006788396</c:v>
                </c:pt>
                <c:pt idx="559">
                  <c:v>270.205334954663</c:v>
                </c:pt>
                <c:pt idx="560">
                  <c:v>270.374213289009</c:v>
                </c:pt>
                <c:pt idx="561">
                  <c:v>263.8430537928</c:v>
                </c:pt>
                <c:pt idx="562">
                  <c:v>277.460785328208</c:v>
                </c:pt>
                <c:pt idx="563">
                  <c:v>280.451812594046</c:v>
                </c:pt>
                <c:pt idx="564">
                  <c:v>286.36710222528</c:v>
                </c:pt>
                <c:pt idx="565">
                  <c:v>295.422316364745</c:v>
                </c:pt>
                <c:pt idx="566">
                  <c:v>295.47637864864</c:v>
                </c:pt>
                <c:pt idx="567">
                  <c:v>297.502755653412</c:v>
                </c:pt>
                <c:pt idx="568">
                  <c:v>298.832890473939</c:v>
                </c:pt>
                <c:pt idx="569">
                  <c:v>302.732958527514</c:v>
                </c:pt>
                <c:pt idx="570">
                  <c:v>307.510690078995</c:v>
                </c:pt>
                <c:pt idx="571">
                  <c:v>304.253844360369</c:v>
                </c:pt>
                <c:pt idx="572">
                  <c:v>313.188258500011</c:v>
                </c:pt>
                <c:pt idx="573">
                  <c:v>316.430383352003</c:v>
                </c:pt>
                <c:pt idx="574">
                  <c:v>328.703452200694</c:v>
                </c:pt>
                <c:pt idx="575">
                  <c:v>333.010124831427</c:v>
                </c:pt>
                <c:pt idx="576">
                  <c:v>347.898008482266</c:v>
                </c:pt>
                <c:pt idx="577">
                  <c:v>332.814890324517</c:v>
                </c:pt>
                <c:pt idx="578">
                  <c:v>329.961002639984</c:v>
                </c:pt>
                <c:pt idx="579">
                  <c:v>331.242571174238</c:v>
                </c:pt>
                <c:pt idx="580">
                  <c:v>336.398030551994</c:v>
                </c:pt>
                <c:pt idx="581">
                  <c:v>340.172080056757</c:v>
                </c:pt>
                <c:pt idx="582">
                  <c:v>351.15793738219</c:v>
                </c:pt>
                <c:pt idx="583">
                  <c:v>358.182149603646</c:v>
                </c:pt>
                <c:pt idx="584">
                  <c:v>358.754166496563</c:v>
                </c:pt>
                <c:pt idx="585">
                  <c:v>333.146294092038</c:v>
                </c:pt>
                <c:pt idx="586">
                  <c:v>342.275168842748</c:v>
                </c:pt>
                <c:pt idx="587">
                  <c:v>307.940519830625</c:v>
                </c:pt>
                <c:pt idx="588">
                  <c:v>339.048055262876</c:v>
                </c:pt>
                <c:pt idx="589">
                  <c:v>351.488067458526</c:v>
                </c:pt>
                <c:pt idx="590">
                  <c:v>354.69750500249</c:v>
                </c:pt>
                <c:pt idx="591">
                  <c:v>367.707100090971</c:v>
                </c:pt>
                <c:pt idx="592">
                  <c:v>342.537181382644</c:v>
                </c:pt>
                <c:pt idx="593">
                  <c:v>368.507322863532</c:v>
                </c:pt>
                <c:pt idx="594">
                  <c:v>371.764559090322</c:v>
                </c:pt>
                <c:pt idx="595">
                  <c:v>360.147660147868</c:v>
                </c:pt>
                <c:pt idx="596">
                  <c:v>372.222690897306</c:v>
                </c:pt>
                <c:pt idx="597">
                  <c:v>377.121513732205</c:v>
                </c:pt>
                <c:pt idx="598">
                  <c:v>390.138994143213</c:v>
                </c:pt>
                <c:pt idx="599">
                  <c:v>401.360562031755</c:v>
                </c:pt>
                <c:pt idx="600">
                  <c:v>394.301031106178</c:v>
                </c:pt>
                <c:pt idx="601">
                  <c:v>358.515846727106</c:v>
                </c:pt>
                <c:pt idx="602">
                  <c:v>291.111999415636</c:v>
                </c:pt>
                <c:pt idx="603">
                  <c:v>333.815800833915</c:v>
                </c:pt>
                <c:pt idx="604">
                  <c:v>350.033573885829</c:v>
                </c:pt>
                <c:pt idx="605">
                  <c:v>354.766027804765</c:v>
                </c:pt>
                <c:pt idx="606">
                  <c:v>371.414487957587</c:v>
                </c:pt>
                <c:pt idx="607">
                  <c:v>388.26073488788</c:v>
                </c:pt>
                <c:pt idx="608">
                  <c:v>378.477340890175</c:v>
                </c:pt>
                <c:pt idx="609">
                  <c:v>376.144406560928</c:v>
                </c:pt>
                <c:pt idx="610">
                  <c:v>431.322534136976</c:v>
                </c:pt>
                <c:pt idx="611">
                  <c:v>449.430748087649</c:v>
                </c:pt>
                <c:pt idx="612">
                  <c:v>446.56113276111</c:v>
                </c:pt>
                <c:pt idx="613">
                  <c:v>474.890077901209</c:v>
                </c:pt>
                <c:pt idx="614">
                  <c:v>502.028146292951</c:v>
                </c:pt>
                <c:pt idx="615">
                  <c:v>525.673671983349</c:v>
                </c:pt>
                <c:pt idx="616">
                  <c:v>535.861753420059</c:v>
                </c:pt>
                <c:pt idx="617">
                  <c:v>536.501036491889</c:v>
                </c:pt>
                <c:pt idx="618">
                  <c:v>543.119313278053</c:v>
                </c:pt>
                <c:pt idx="619">
                  <c:v>555.804951078288</c:v>
                </c:pt>
                <c:pt idx="620">
                  <c:v>534.911687162304</c:v>
                </c:pt>
                <c:pt idx="621">
                  <c:v>563.164117743156</c:v>
                </c:pt>
                <c:pt idx="622">
                  <c:v>548.677847142449</c:v>
                </c:pt>
                <c:pt idx="623">
                  <c:v>583.59076723397</c:v>
                </c:pt>
                <c:pt idx="624">
                  <c:v>558.683113288424</c:v>
                </c:pt>
                <c:pt idx="625">
                  <c:v>553.009127589867</c:v>
                </c:pt>
                <c:pt idx="626">
                  <c:v>568.019454340038</c:v>
                </c:pt>
                <c:pt idx="627">
                  <c:v>532.122328884111</c:v>
                </c:pt>
                <c:pt idx="628">
                  <c:v>537.433973971032</c:v>
                </c:pt>
                <c:pt idx="629">
                  <c:v>487.519793638472</c:v>
                </c:pt>
                <c:pt idx="630">
                  <c:v>530.390821731659</c:v>
                </c:pt>
                <c:pt idx="631">
                  <c:v>512.47634133685</c:v>
                </c:pt>
                <c:pt idx="632">
                  <c:v>464.840127980566</c:v>
                </c:pt>
                <c:pt idx="633">
                  <c:v>509.756235026944</c:v>
                </c:pt>
                <c:pt idx="634">
                  <c:v>544.934512806154</c:v>
                </c:pt>
                <c:pt idx="635">
                  <c:v>518.355331944034</c:v>
                </c:pt>
                <c:pt idx="636">
                  <c:v>557.558027343629</c:v>
                </c:pt>
                <c:pt idx="637">
                  <c:v>538.908268887012</c:v>
                </c:pt>
                <c:pt idx="638">
                  <c:v>537.43219913853</c:v>
                </c:pt>
                <c:pt idx="639">
                  <c:v>538.569405671907</c:v>
                </c:pt>
                <c:pt idx="640">
                  <c:v>518.190477930688</c:v>
                </c:pt>
                <c:pt idx="641">
                  <c:v>558.955486448539</c:v>
                </c:pt>
                <c:pt idx="642">
                  <c:v>578.6854972092</c:v>
                </c:pt>
                <c:pt idx="643">
                  <c:v>560.836521733279</c:v>
                </c:pt>
                <c:pt idx="644">
                  <c:v>532.616910469226</c:v>
                </c:pt>
                <c:pt idx="645">
                  <c:v>510.865368462573</c:v>
                </c:pt>
                <c:pt idx="646">
                  <c:v>558.259370425583</c:v>
                </c:pt>
                <c:pt idx="647">
                  <c:v>597.707094058596</c:v>
                </c:pt>
                <c:pt idx="648">
                  <c:v>593.374913040859</c:v>
                </c:pt>
                <c:pt idx="649">
                  <c:v>617.395916270579</c:v>
                </c:pt>
                <c:pt idx="650">
                  <c:v>645.500395775132</c:v>
                </c:pt>
                <c:pt idx="651">
                  <c:v>614.007722466055</c:v>
                </c:pt>
                <c:pt idx="652">
                  <c:v>631.328880316822</c:v>
                </c:pt>
                <c:pt idx="653">
                  <c:v>629.495501248382</c:v>
                </c:pt>
                <c:pt idx="654">
                  <c:v>657.699417686315</c:v>
                </c:pt>
                <c:pt idx="655">
                  <c:v>674.104414261665</c:v>
                </c:pt>
                <c:pt idx="656">
                  <c:v>689.840033603775</c:v>
                </c:pt>
                <c:pt idx="657">
                  <c:v>678.519758652337</c:v>
                </c:pt>
                <c:pt idx="658">
                  <c:v>720.622588196473</c:v>
                </c:pt>
                <c:pt idx="659">
                  <c:v>675.430904445496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860111"/>
        <c:axId val="92738354"/>
      </c:lineChart>
      <c:catAx>
        <c:axId val="75860111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2738354"/>
        <c:crosses val="autoZero"/>
        <c:auto val="1"/>
        <c:lblAlgn val="ctr"/>
        <c:lblOffset val="100"/>
        <c:noMultiLvlLbl val="0"/>
      </c:catAx>
      <c:valAx>
        <c:axId val="927383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586011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498240</xdr:colOff>
      <xdr:row>1</xdr:row>
      <xdr:rowOff>35640</xdr:rowOff>
    </xdr:from>
    <xdr:to>
      <xdr:col>10</xdr:col>
      <xdr:colOff>567720</xdr:colOff>
      <xdr:row>19</xdr:row>
      <xdr:rowOff>119880</xdr:rowOff>
    </xdr:to>
    <xdr:graphicFrame>
      <xdr:nvGraphicFramePr>
        <xdr:cNvPr id="0" name=""/>
        <xdr:cNvGraphicFramePr/>
      </xdr:nvGraphicFramePr>
      <xdr:xfrm>
        <a:off x="4111920" y="210960"/>
        <a:ext cx="575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5.2"/>
    <col collapsed="false" customWidth="true" hidden="false" outlineLevel="0" max="3" min="3" style="1" width="19.79"/>
    <col collapsed="false" customWidth="true" hidden="false" outlineLevel="0" max="5" min="4" style="1" width="11.31"/>
    <col collapsed="false" customWidth="true" hidden="false" outlineLevel="0" max="6" min="6" style="1" width="22.86"/>
    <col collapsed="false" customWidth="true" hidden="false" outlineLevel="0" max="7" min="7" style="1" width="22.58"/>
    <col collapsed="false" customWidth="true" hidden="false" outlineLevel="0" max="9" min="9" style="2" width="10.33"/>
    <col collapsed="false" customWidth="true" hidden="false" outlineLevel="0" max="10" min="10" style="2" width="10.06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5" t="s">
        <v>7</v>
      </c>
      <c r="J1" s="5" t="s">
        <v>8</v>
      </c>
      <c r="L1" s="6" t="s">
        <v>9</v>
      </c>
    </row>
    <row r="2" customFormat="false" ht="15" hidden="false" customHeight="false" outlineLevel="0" collapsed="false">
      <c r="A2" s="7" t="n">
        <v>25569</v>
      </c>
      <c r="B2" s="1" t="n">
        <v>0.006</v>
      </c>
      <c r="C2" s="1" t="n">
        <v>-0.081</v>
      </c>
      <c r="D2" s="1" t="n">
        <v>0.0291</v>
      </c>
      <c r="E2" s="1" t="n">
        <v>0.0317</v>
      </c>
      <c r="F2" s="1" t="n">
        <v>-0.075398</v>
      </c>
      <c r="G2" s="1" t="n">
        <v>-0.058388</v>
      </c>
      <c r="I2" s="1" t="n">
        <f aca="false">F2-$B2</f>
        <v>-0.081398</v>
      </c>
      <c r="J2" s="1" t="n">
        <f aca="false">G2-$B2</f>
        <v>-0.064388</v>
      </c>
      <c r="L2" s="6" t="s">
        <v>10</v>
      </c>
      <c r="M2" s="8" t="n">
        <f aca="false">AVERAGE(I2:I661)</f>
        <v>0.00613211666666667</v>
      </c>
    </row>
    <row r="3" customFormat="false" ht="15" hidden="false" customHeight="false" outlineLevel="0" collapsed="false">
      <c r="A3" s="7" t="n">
        <v>25600</v>
      </c>
      <c r="B3" s="1" t="n">
        <v>0.0062</v>
      </c>
      <c r="C3" s="1" t="n">
        <v>0.0514</v>
      </c>
      <c r="D3" s="1" t="n">
        <v>-0.0239</v>
      </c>
      <c r="E3" s="1" t="n">
        <v>0.0369</v>
      </c>
      <c r="F3" s="1" t="n">
        <v>0.059521</v>
      </c>
      <c r="G3" s="1" t="n">
        <v>0.068592</v>
      </c>
      <c r="I3" s="1" t="n">
        <f aca="false">F3-$B3</f>
        <v>0.053321</v>
      </c>
      <c r="J3" s="1" t="n">
        <f aca="false">G3-$B3</f>
        <v>0.062392</v>
      </c>
      <c r="L3" s="6" t="s">
        <v>11</v>
      </c>
      <c r="M3" s="8" t="n">
        <f aca="false">AVERAGE(J2:J661)</f>
        <v>0.00759375151515152</v>
      </c>
    </row>
    <row r="4" customFormat="false" ht="15" hidden="false" customHeight="false" outlineLevel="0" collapsed="false">
      <c r="A4" s="7" t="n">
        <v>25628</v>
      </c>
      <c r="B4" s="1" t="n">
        <v>0.0057</v>
      </c>
      <c r="C4" s="1" t="n">
        <v>-0.0106</v>
      </c>
      <c r="D4" s="1" t="n">
        <v>-0.0231</v>
      </c>
      <c r="E4" s="1" t="n">
        <v>0.0408</v>
      </c>
      <c r="F4" s="1" t="n">
        <v>0.002806</v>
      </c>
      <c r="G4" s="1" t="n">
        <v>0.003637</v>
      </c>
      <c r="I4" s="1" t="n">
        <f aca="false">F4-$B4</f>
        <v>-0.002894</v>
      </c>
      <c r="J4" s="1" t="n">
        <f aca="false">G4-$B4</f>
        <v>-0.002063</v>
      </c>
    </row>
    <row r="5" customFormat="false" ht="15" hidden="false" customHeight="false" outlineLevel="0" collapsed="false">
      <c r="A5" s="7" t="n">
        <v>25659</v>
      </c>
      <c r="B5" s="1" t="n">
        <v>0.005</v>
      </c>
      <c r="C5" s="1" t="n">
        <v>-0.1099</v>
      </c>
      <c r="D5" s="1" t="n">
        <v>-0.0614</v>
      </c>
      <c r="E5" s="1" t="n">
        <v>0.0614</v>
      </c>
      <c r="F5" s="1" t="n">
        <v>-0.088831</v>
      </c>
      <c r="G5" s="1" t="n">
        <v>-0.1088</v>
      </c>
      <c r="I5" s="1" t="n">
        <f aca="false">F5-$B5</f>
        <v>-0.093831</v>
      </c>
      <c r="J5" s="1" t="n">
        <f aca="false">G5-$B5</f>
        <v>-0.1138</v>
      </c>
      <c r="L5" s="6" t="s">
        <v>12</v>
      </c>
    </row>
    <row r="6" customFormat="false" ht="15" hidden="false" customHeight="false" outlineLevel="0" collapsed="false">
      <c r="A6" s="7" t="n">
        <v>25689</v>
      </c>
      <c r="B6" s="1" t="n">
        <v>0.0053</v>
      </c>
      <c r="C6" s="1" t="n">
        <v>-0.069</v>
      </c>
      <c r="D6" s="1" t="n">
        <v>-0.0461</v>
      </c>
      <c r="E6" s="1" t="n">
        <v>0.0332</v>
      </c>
      <c r="F6" s="1" t="n">
        <v>-0.054689</v>
      </c>
      <c r="G6" s="1" t="n">
        <v>-0.082317</v>
      </c>
      <c r="I6" s="1" t="n">
        <f aca="false">F6-$B6</f>
        <v>-0.059989</v>
      </c>
      <c r="J6" s="1" t="n">
        <f aca="false">G6-$B6</f>
        <v>-0.087617</v>
      </c>
      <c r="L6" s="6" t="s">
        <v>10</v>
      </c>
      <c r="M6" s="9" t="n">
        <f aca="false">SLOPE(I2:I661,C2:C661)</f>
        <v>0.957406094831237</v>
      </c>
    </row>
    <row r="7" customFormat="false" ht="15" hidden="false" customHeight="false" outlineLevel="0" collapsed="false">
      <c r="A7" s="7" t="n">
        <v>25720</v>
      </c>
      <c r="B7" s="1" t="n">
        <v>0.0058</v>
      </c>
      <c r="C7" s="1" t="n">
        <v>-0.058</v>
      </c>
      <c r="D7" s="1" t="n">
        <v>-0.0208</v>
      </c>
      <c r="E7" s="1" t="n">
        <v>0.0044</v>
      </c>
      <c r="F7" s="1" t="n">
        <v>-0.049032</v>
      </c>
      <c r="G7" s="1" t="n">
        <v>-0.058854</v>
      </c>
      <c r="I7" s="1" t="n">
        <f aca="false">F7-$B7</f>
        <v>-0.054832</v>
      </c>
      <c r="J7" s="1" t="n">
        <f aca="false">G7-$B7</f>
        <v>-0.064654</v>
      </c>
      <c r="L7" s="6" t="s">
        <v>11</v>
      </c>
      <c r="M7" s="9" t="n">
        <f aca="false">SLOPE(J2:J661,C2:C661)</f>
        <v>1.05901002004786</v>
      </c>
    </row>
    <row r="8" customFormat="false" ht="15" hidden="false" customHeight="false" outlineLevel="0" collapsed="false">
      <c r="A8" s="7" t="n">
        <v>25750</v>
      </c>
      <c r="B8" s="1" t="n">
        <v>0.0052</v>
      </c>
      <c r="C8" s="1" t="n">
        <v>0.0692</v>
      </c>
      <c r="D8" s="1" t="n">
        <v>-0.0055</v>
      </c>
      <c r="E8" s="1" t="n">
        <v>0.0093</v>
      </c>
      <c r="F8" s="1" t="n">
        <v>0.075523</v>
      </c>
      <c r="G8" s="1" t="n">
        <v>0.081903</v>
      </c>
      <c r="I8" s="1" t="n">
        <f aca="false">F8-$B8</f>
        <v>0.070323</v>
      </c>
      <c r="J8" s="1" t="n">
        <f aca="false">G8-$B8</f>
        <v>0.076703</v>
      </c>
    </row>
    <row r="9" customFormat="false" ht="15" hidden="false" customHeight="false" outlineLevel="0" collapsed="false">
      <c r="A9" s="7" t="n">
        <v>25781</v>
      </c>
      <c r="B9" s="1" t="n">
        <v>0.0053</v>
      </c>
      <c r="C9" s="1" t="n">
        <v>0.045</v>
      </c>
      <c r="D9" s="1" t="n">
        <v>0.0148</v>
      </c>
      <c r="E9" s="1" t="n">
        <v>0.0141</v>
      </c>
      <c r="F9" s="1" t="n">
        <v>0.049779</v>
      </c>
      <c r="G9" s="1" t="n">
        <v>0.062742</v>
      </c>
      <c r="I9" s="1" t="n">
        <f aca="false">F9-$B9</f>
        <v>0.044479</v>
      </c>
      <c r="J9" s="1" t="n">
        <f aca="false">G9-$B9</f>
        <v>0.057442</v>
      </c>
      <c r="L9" s="6" t="s">
        <v>13</v>
      </c>
    </row>
    <row r="10" customFormat="false" ht="15" hidden="false" customHeight="false" outlineLevel="0" collapsed="false">
      <c r="A10" s="7" t="n">
        <v>25812</v>
      </c>
      <c r="B10" s="1" t="n">
        <v>0.0054</v>
      </c>
      <c r="C10" s="1" t="n">
        <v>0.0418</v>
      </c>
      <c r="D10" s="1" t="n">
        <v>0.0861</v>
      </c>
      <c r="E10" s="1" t="n">
        <v>-0.0541</v>
      </c>
      <c r="F10" s="1" t="n">
        <v>0.034702</v>
      </c>
      <c r="G10" s="1" t="n">
        <v>0.06525</v>
      </c>
      <c r="I10" s="1" t="n">
        <f aca="false">F10-$B10</f>
        <v>0.029302</v>
      </c>
      <c r="J10" s="1" t="n">
        <f aca="false">G10-$B10</f>
        <v>0.05985</v>
      </c>
      <c r="L10" s="6" t="s">
        <v>10</v>
      </c>
      <c r="M10" s="8" t="n">
        <f aca="false">INTERCEPT(I2:I661,C2:C661)</f>
        <v>0.000276127781478456</v>
      </c>
    </row>
    <row r="11" customFormat="false" ht="15" hidden="false" customHeight="false" outlineLevel="0" collapsed="false">
      <c r="A11" s="7" t="n">
        <v>25842</v>
      </c>
      <c r="B11" s="1" t="n">
        <v>0.0046</v>
      </c>
      <c r="C11" s="1" t="n">
        <v>-0.0227</v>
      </c>
      <c r="D11" s="1" t="n">
        <v>-0.0417</v>
      </c>
      <c r="E11" s="1" t="n">
        <v>0.0021</v>
      </c>
      <c r="F11" s="1" t="n">
        <v>-0.009032</v>
      </c>
      <c r="G11" s="1" t="n">
        <v>-0.032163</v>
      </c>
      <c r="I11" s="1" t="n">
        <f aca="false">F11-$B11</f>
        <v>-0.013632</v>
      </c>
      <c r="J11" s="1" t="n">
        <f aca="false">G11-$B11</f>
        <v>-0.036763</v>
      </c>
      <c r="L11" s="6" t="s">
        <v>11</v>
      </c>
      <c r="M11" s="8" t="n">
        <f aca="false">INTERCEPT(J2:J661,C2:C661)</f>
        <v>0.00111630068192243</v>
      </c>
    </row>
    <row r="12" customFormat="false" ht="15" hidden="false" customHeight="false" outlineLevel="0" collapsed="false">
      <c r="A12" s="7" t="n">
        <v>25873</v>
      </c>
      <c r="B12" s="1" t="n">
        <v>0.0046</v>
      </c>
      <c r="C12" s="1" t="n">
        <v>0.0462</v>
      </c>
      <c r="D12" s="1" t="n">
        <v>-0.0397</v>
      </c>
      <c r="E12" s="1" t="n">
        <v>0.0158</v>
      </c>
      <c r="F12" s="1" t="n">
        <v>0.054387</v>
      </c>
      <c r="G12" s="1" t="n">
        <v>0.046937</v>
      </c>
      <c r="I12" s="1" t="n">
        <f aca="false">F12-$B12</f>
        <v>0.049787</v>
      </c>
      <c r="J12" s="1" t="n">
        <f aca="false">G12-$B12</f>
        <v>0.042337</v>
      </c>
    </row>
    <row r="13" customFormat="false" ht="15" hidden="false" customHeight="false" outlineLevel="0" collapsed="false">
      <c r="A13" s="7" t="n">
        <v>25903</v>
      </c>
      <c r="B13" s="1" t="n">
        <v>0.0042</v>
      </c>
      <c r="C13" s="1" t="n">
        <v>0.0574</v>
      </c>
      <c r="D13" s="1" t="n">
        <v>0.0282</v>
      </c>
      <c r="E13" s="1" t="n">
        <v>0.0104</v>
      </c>
      <c r="F13" s="1" t="n">
        <v>0.058684</v>
      </c>
      <c r="G13" s="1" t="n">
        <v>0.084505</v>
      </c>
      <c r="I13" s="1" t="n">
        <f aca="false">F13-$B13</f>
        <v>0.054484</v>
      </c>
      <c r="J13" s="1" t="n">
        <f aca="false">G13-$B13</f>
        <v>0.080305</v>
      </c>
    </row>
    <row r="14" customFormat="false" ht="15" hidden="false" customHeight="false" outlineLevel="0" collapsed="false">
      <c r="A14" s="7" t="n">
        <v>25934</v>
      </c>
      <c r="B14" s="1" t="n">
        <v>0.0038</v>
      </c>
      <c r="C14" s="1" t="n">
        <v>0.0483</v>
      </c>
      <c r="D14" s="1" t="n">
        <v>0.0728</v>
      </c>
      <c r="E14" s="1" t="n">
        <v>0.0155</v>
      </c>
      <c r="F14" s="1" t="n">
        <v>0.042828</v>
      </c>
      <c r="G14" s="1" t="n">
        <v>0.083935</v>
      </c>
      <c r="I14" s="1" t="n">
        <f aca="false">F14-$B14</f>
        <v>0.039028</v>
      </c>
      <c r="J14" s="1" t="n">
        <f aca="false">G14-$B14</f>
        <v>0.080135</v>
      </c>
    </row>
    <row r="15" customFormat="false" ht="15" hidden="false" customHeight="false" outlineLevel="0" collapsed="false">
      <c r="A15" s="7" t="n">
        <v>25965</v>
      </c>
      <c r="B15" s="1" t="n">
        <v>0.0033</v>
      </c>
      <c r="C15" s="1" t="n">
        <v>0.0141</v>
      </c>
      <c r="D15" s="1" t="n">
        <v>0.0186</v>
      </c>
      <c r="E15" s="1" t="n">
        <v>-0.0124</v>
      </c>
      <c r="F15" s="1" t="n">
        <v>0.013317</v>
      </c>
      <c r="G15" s="1" t="n">
        <v>0.021101</v>
      </c>
      <c r="I15" s="1" t="n">
        <f aca="false">F15-$B15</f>
        <v>0.010017</v>
      </c>
      <c r="J15" s="1" t="n">
        <f aca="false">G15-$B15</f>
        <v>0.017801</v>
      </c>
    </row>
    <row r="16" customFormat="false" ht="15" hidden="false" customHeight="false" outlineLevel="0" collapsed="false">
      <c r="A16" s="7" t="n">
        <v>25993</v>
      </c>
      <c r="B16" s="1" t="n">
        <v>0.003</v>
      </c>
      <c r="C16" s="1" t="n">
        <v>0.0412</v>
      </c>
      <c r="D16" s="1" t="n">
        <v>0.026</v>
      </c>
      <c r="E16" s="1" t="n">
        <v>-0.0395</v>
      </c>
      <c r="F16" s="1" t="n">
        <v>0.039068</v>
      </c>
      <c r="G16" s="1" t="n">
        <v>0.039888</v>
      </c>
      <c r="I16" s="1" t="n">
        <f aca="false">F16-$B16</f>
        <v>0.036068</v>
      </c>
      <c r="J16" s="1" t="n">
        <f aca="false">G16-$B16</f>
        <v>0.036888</v>
      </c>
    </row>
    <row r="17" customFormat="false" ht="15" hidden="false" customHeight="false" outlineLevel="0" collapsed="false">
      <c r="A17" s="7" t="n">
        <v>26024</v>
      </c>
      <c r="B17" s="1" t="n">
        <v>0.0028</v>
      </c>
      <c r="C17" s="1" t="n">
        <v>0.0315</v>
      </c>
      <c r="D17" s="1" t="n">
        <v>-0.0049</v>
      </c>
      <c r="E17" s="1" t="n">
        <v>0.0086</v>
      </c>
      <c r="F17" s="1" t="n">
        <v>0.036965</v>
      </c>
      <c r="G17" s="1" t="n">
        <v>0.041374</v>
      </c>
      <c r="I17" s="1" t="n">
        <f aca="false">F17-$B17</f>
        <v>0.034165</v>
      </c>
      <c r="J17" s="1" t="n">
        <f aca="false">G17-$B17</f>
        <v>0.038574</v>
      </c>
    </row>
    <row r="18" customFormat="false" ht="15" hidden="false" customHeight="false" outlineLevel="0" collapsed="false">
      <c r="A18" s="7" t="n">
        <v>26054</v>
      </c>
      <c r="B18" s="1" t="n">
        <v>0.0029</v>
      </c>
      <c r="C18" s="1" t="n">
        <v>-0.0399</v>
      </c>
      <c r="D18" s="1" t="n">
        <v>-0.0104</v>
      </c>
      <c r="E18" s="1" t="n">
        <v>-0.0133</v>
      </c>
      <c r="F18" s="1" t="n">
        <v>-0.03715</v>
      </c>
      <c r="G18" s="1" t="n">
        <v>-0.041095</v>
      </c>
      <c r="I18" s="1" t="n">
        <f aca="false">F18-$B18</f>
        <v>-0.04005</v>
      </c>
      <c r="J18" s="1" t="n">
        <f aca="false">G18-$B18</f>
        <v>-0.043995</v>
      </c>
    </row>
    <row r="19" customFormat="false" ht="15" hidden="false" customHeight="false" outlineLevel="0" collapsed="false">
      <c r="A19" s="7" t="n">
        <v>26085</v>
      </c>
      <c r="B19" s="1" t="n">
        <v>0.0037</v>
      </c>
      <c r="C19" s="1" t="n">
        <v>-0.0009</v>
      </c>
      <c r="D19" s="1" t="n">
        <v>-0.0153</v>
      </c>
      <c r="E19" s="1" t="n">
        <v>-0.0197</v>
      </c>
      <c r="F19" s="1" t="n">
        <v>0.002439</v>
      </c>
      <c r="G19" s="1" t="n">
        <v>-0.005647</v>
      </c>
      <c r="I19" s="1" t="n">
        <f aca="false">F19-$B19</f>
        <v>-0.001261</v>
      </c>
      <c r="J19" s="1" t="n">
        <f aca="false">G19-$B19</f>
        <v>-0.009347</v>
      </c>
    </row>
    <row r="20" customFormat="false" ht="15" hidden="false" customHeight="false" outlineLevel="0" collapsed="false">
      <c r="A20" s="7" t="n">
        <v>26115</v>
      </c>
      <c r="B20" s="1" t="n">
        <v>0.004</v>
      </c>
      <c r="C20" s="1" t="n">
        <v>-0.0449</v>
      </c>
      <c r="D20" s="1" t="n">
        <v>-0.0151</v>
      </c>
      <c r="E20" s="1" t="n">
        <v>-0.0002</v>
      </c>
      <c r="F20" s="1" t="n">
        <v>-0.040827</v>
      </c>
      <c r="G20" s="1" t="n">
        <v>-0.042866</v>
      </c>
      <c r="I20" s="1" t="n">
        <f aca="false">F20-$B20</f>
        <v>-0.044827</v>
      </c>
      <c r="J20" s="1" t="n">
        <f aca="false">G20-$B20</f>
        <v>-0.046866</v>
      </c>
    </row>
    <row r="21" customFormat="false" ht="15" hidden="false" customHeight="false" outlineLevel="0" collapsed="false">
      <c r="A21" s="7" t="n">
        <v>26146</v>
      </c>
      <c r="B21" s="1" t="n">
        <v>0.0047</v>
      </c>
      <c r="C21" s="1" t="n">
        <v>0.0379</v>
      </c>
      <c r="D21" s="1" t="n">
        <v>-0.0022</v>
      </c>
      <c r="E21" s="1" t="n">
        <v>0.0264</v>
      </c>
      <c r="F21" s="1" t="n">
        <v>0.042036</v>
      </c>
      <c r="G21" s="1" t="n">
        <v>0.052668</v>
      </c>
      <c r="I21" s="1" t="n">
        <f aca="false">F21-$B21</f>
        <v>0.037336</v>
      </c>
      <c r="J21" s="1" t="n">
        <f aca="false">G21-$B21</f>
        <v>0.047968</v>
      </c>
    </row>
    <row r="22" customFormat="false" ht="15" hidden="false" customHeight="false" outlineLevel="0" collapsed="false">
      <c r="A22" s="7" t="n">
        <v>26177</v>
      </c>
      <c r="B22" s="1" t="n">
        <v>0.0037</v>
      </c>
      <c r="C22" s="1" t="n">
        <v>-0.0086</v>
      </c>
      <c r="D22" s="1" t="n">
        <v>0.005</v>
      </c>
      <c r="E22" s="1" t="n">
        <v>-0.029</v>
      </c>
      <c r="F22" s="1" t="n">
        <v>-0.005038</v>
      </c>
      <c r="G22" s="1" t="n">
        <v>-0.014162</v>
      </c>
      <c r="I22" s="1" t="n">
        <f aca="false">F22-$B22</f>
        <v>-0.008738</v>
      </c>
      <c r="J22" s="1" t="n">
        <f aca="false">G22-$B22</f>
        <v>-0.017862</v>
      </c>
    </row>
    <row r="23" customFormat="false" ht="15" hidden="false" customHeight="false" outlineLevel="0" collapsed="false">
      <c r="A23" s="7" t="n">
        <v>26207</v>
      </c>
      <c r="B23" s="1" t="n">
        <v>0.0037</v>
      </c>
      <c r="C23" s="1" t="n">
        <v>-0.0442</v>
      </c>
      <c r="D23" s="1" t="n">
        <v>-0.0175</v>
      </c>
      <c r="E23" s="1" t="n">
        <v>-0.0051</v>
      </c>
      <c r="F23" s="1" t="n">
        <v>-0.040129</v>
      </c>
      <c r="G23" s="1" t="n">
        <v>-0.054981</v>
      </c>
      <c r="I23" s="1" t="n">
        <f aca="false">F23-$B23</f>
        <v>-0.043829</v>
      </c>
      <c r="J23" s="1" t="n">
        <f aca="false">G23-$B23</f>
        <v>-0.058681</v>
      </c>
    </row>
    <row r="24" customFormat="false" ht="15" hidden="false" customHeight="false" outlineLevel="0" collapsed="false">
      <c r="A24" s="7" t="n">
        <v>26238</v>
      </c>
      <c r="B24" s="1" t="n">
        <v>0.0037</v>
      </c>
      <c r="C24" s="1" t="n">
        <v>-0.0046</v>
      </c>
      <c r="D24" s="1" t="n">
        <v>-0.0277</v>
      </c>
      <c r="E24" s="1" t="n">
        <v>-0.0167</v>
      </c>
      <c r="F24" s="1" t="n">
        <v>0.002899</v>
      </c>
      <c r="G24" s="1" t="n">
        <v>-0.017273</v>
      </c>
      <c r="I24" s="1" t="n">
        <f aca="false">F24-$B24</f>
        <v>-0.000801</v>
      </c>
      <c r="J24" s="1" t="n">
        <f aca="false">G24-$B24</f>
        <v>-0.020973</v>
      </c>
    </row>
    <row r="25" customFormat="false" ht="15" hidden="false" customHeight="false" outlineLevel="0" collapsed="false">
      <c r="A25" s="7" t="n">
        <v>26268</v>
      </c>
      <c r="B25" s="1" t="n">
        <v>0.0037</v>
      </c>
      <c r="C25" s="1" t="n">
        <v>0.0871</v>
      </c>
      <c r="D25" s="1" t="n">
        <v>0.0329</v>
      </c>
      <c r="E25" s="1" t="n">
        <v>-0.0038</v>
      </c>
      <c r="F25" s="1" t="n">
        <v>0.08788</v>
      </c>
      <c r="G25" s="1" t="n">
        <v>0.108969</v>
      </c>
      <c r="I25" s="1" t="n">
        <f aca="false">F25-$B25</f>
        <v>0.08418</v>
      </c>
      <c r="J25" s="1" t="n">
        <f aca="false">G25-$B25</f>
        <v>0.105269</v>
      </c>
    </row>
    <row r="26" customFormat="false" ht="15" hidden="false" customHeight="false" outlineLevel="0" collapsed="false">
      <c r="A26" s="7" t="n">
        <v>26299</v>
      </c>
      <c r="B26" s="1" t="n">
        <v>0.0029</v>
      </c>
      <c r="C26" s="1" t="n">
        <v>0.0247</v>
      </c>
      <c r="D26" s="1" t="n">
        <v>0.0584</v>
      </c>
      <c r="E26" s="1" t="n">
        <v>0.0212</v>
      </c>
      <c r="F26" s="1" t="n">
        <v>0.019088</v>
      </c>
      <c r="G26" s="1" t="n">
        <v>0.038139</v>
      </c>
      <c r="I26" s="1" t="n">
        <f aca="false">F26-$B26</f>
        <v>0.016188</v>
      </c>
      <c r="J26" s="1" t="n">
        <f aca="false">G26-$B26</f>
        <v>0.035239</v>
      </c>
    </row>
    <row r="27" customFormat="false" ht="15" hidden="false" customHeight="false" outlineLevel="0" collapsed="false">
      <c r="A27" s="7" t="n">
        <v>26330</v>
      </c>
      <c r="B27" s="1" t="n">
        <v>0.0025</v>
      </c>
      <c r="C27" s="1" t="n">
        <v>0.0287</v>
      </c>
      <c r="D27" s="1" t="n">
        <v>0.0132</v>
      </c>
      <c r="E27" s="1" t="n">
        <v>-0.0283</v>
      </c>
      <c r="F27" s="1" t="n">
        <v>0.030221</v>
      </c>
      <c r="G27" s="1" t="n">
        <v>0.027578</v>
      </c>
      <c r="I27" s="1" t="n">
        <f aca="false">F27-$B27</f>
        <v>0.027721</v>
      </c>
      <c r="J27" s="1" t="n">
        <f aca="false">G27-$B27</f>
        <v>0.025078</v>
      </c>
    </row>
    <row r="28" customFormat="false" ht="15" hidden="false" customHeight="false" outlineLevel="0" collapsed="false">
      <c r="A28" s="7" t="n">
        <v>26359</v>
      </c>
      <c r="B28" s="1" t="n">
        <v>0.0027</v>
      </c>
      <c r="C28" s="1" t="n">
        <v>0.0062</v>
      </c>
      <c r="D28" s="1" t="n">
        <v>-0.0029</v>
      </c>
      <c r="E28" s="1" t="n">
        <v>-0.0161</v>
      </c>
      <c r="F28" s="1" t="n">
        <v>0.007315</v>
      </c>
      <c r="G28" s="1" t="n">
        <v>0.001281</v>
      </c>
      <c r="I28" s="1" t="n">
        <f aca="false">F28-$B28</f>
        <v>0.004615</v>
      </c>
      <c r="J28" s="1" t="n">
        <f aca="false">G28-$B28</f>
        <v>-0.001419</v>
      </c>
    </row>
    <row r="29" customFormat="false" ht="15" hidden="false" customHeight="false" outlineLevel="0" collapsed="false">
      <c r="A29" s="7" t="n">
        <v>26390</v>
      </c>
      <c r="B29" s="1" t="n">
        <v>0.0029</v>
      </c>
      <c r="C29" s="1" t="n">
        <v>0.0029</v>
      </c>
      <c r="D29" s="1" t="n">
        <v>0.0016</v>
      </c>
      <c r="E29" s="1" t="n">
        <v>0.0003</v>
      </c>
      <c r="F29" s="1" t="n">
        <v>0.005476</v>
      </c>
      <c r="G29" s="1" t="n">
        <v>0.00467</v>
      </c>
      <c r="I29" s="1" t="n">
        <f aca="false">F29-$B29</f>
        <v>0.002576</v>
      </c>
      <c r="J29" s="1" t="n">
        <f aca="false">G29-$B29</f>
        <v>0.00177</v>
      </c>
    </row>
    <row r="30" customFormat="false" ht="15" hidden="false" customHeight="false" outlineLevel="0" collapsed="false">
      <c r="A30" s="7" t="n">
        <v>26420</v>
      </c>
      <c r="B30" s="1" t="n">
        <v>0.003</v>
      </c>
      <c r="C30" s="1" t="n">
        <v>0.0129</v>
      </c>
      <c r="D30" s="1" t="n">
        <v>-0.0271</v>
      </c>
      <c r="E30" s="1" t="n">
        <v>-0.0272</v>
      </c>
      <c r="F30" s="1" t="n">
        <v>0.022019</v>
      </c>
      <c r="G30" s="1" t="n">
        <v>0.000945</v>
      </c>
      <c r="I30" s="1" t="n">
        <f aca="false">F30-$B30</f>
        <v>0.019019</v>
      </c>
      <c r="J30" s="1" t="n">
        <f aca="false">G30-$B30</f>
        <v>-0.002055</v>
      </c>
    </row>
    <row r="31" customFormat="false" ht="15" hidden="false" customHeight="false" outlineLevel="0" collapsed="false">
      <c r="A31" s="7" t="n">
        <v>26451</v>
      </c>
      <c r="B31" s="1" t="n">
        <v>0.0029</v>
      </c>
      <c r="C31" s="1" t="n">
        <v>-0.0243</v>
      </c>
      <c r="D31" s="1" t="n">
        <v>0.0028</v>
      </c>
      <c r="E31" s="1" t="n">
        <v>-0.0246</v>
      </c>
      <c r="F31" s="1" t="n">
        <v>-0.020156</v>
      </c>
      <c r="G31" s="1" t="n">
        <v>-0.03102</v>
      </c>
      <c r="I31" s="1" t="n">
        <f aca="false">F31-$B31</f>
        <v>-0.023056</v>
      </c>
      <c r="J31" s="1" t="n">
        <f aca="false">G31-$B31</f>
        <v>-0.03392</v>
      </c>
    </row>
    <row r="32" customFormat="false" ht="15" hidden="false" customHeight="false" outlineLevel="0" collapsed="false">
      <c r="A32" s="7" t="n">
        <v>26481</v>
      </c>
      <c r="B32" s="1" t="n">
        <v>0.0031</v>
      </c>
      <c r="C32" s="1" t="n">
        <v>-0.008</v>
      </c>
      <c r="D32" s="1" t="n">
        <v>-0.029</v>
      </c>
      <c r="E32" s="1" t="n">
        <v>0.006</v>
      </c>
      <c r="F32" s="1" t="n">
        <v>0.003245</v>
      </c>
      <c r="G32" s="1" t="n">
        <v>-0.020226</v>
      </c>
      <c r="I32" s="1" t="n">
        <f aca="false">F32-$B32</f>
        <v>0.000145</v>
      </c>
      <c r="J32" s="1" t="n">
        <f aca="false">G32-$B32</f>
        <v>-0.023326</v>
      </c>
    </row>
    <row r="33" customFormat="false" ht="15" hidden="false" customHeight="false" outlineLevel="0" collapsed="false">
      <c r="A33" s="7" t="n">
        <v>26512</v>
      </c>
      <c r="B33" s="1" t="n">
        <v>0.0029</v>
      </c>
      <c r="C33" s="1" t="n">
        <v>0.0327</v>
      </c>
      <c r="D33" s="1" t="n">
        <v>-0.0399</v>
      </c>
      <c r="E33" s="1" t="n">
        <v>0.0456</v>
      </c>
      <c r="F33" s="1" t="n">
        <v>0.039425</v>
      </c>
      <c r="G33" s="1" t="n">
        <v>0.041005</v>
      </c>
      <c r="I33" s="1" t="n">
        <f aca="false">F33-$B33</f>
        <v>0.036525</v>
      </c>
      <c r="J33" s="1" t="n">
        <f aca="false">G33-$B33</f>
        <v>0.038105</v>
      </c>
    </row>
    <row r="34" customFormat="false" ht="15" hidden="false" customHeight="false" outlineLevel="0" collapsed="false">
      <c r="A34" s="7" t="n">
        <v>26543</v>
      </c>
      <c r="B34" s="1" t="n">
        <v>0.0034</v>
      </c>
      <c r="C34" s="1" t="n">
        <v>-0.0114</v>
      </c>
      <c r="D34" s="1" t="n">
        <v>-0.0266</v>
      </c>
      <c r="E34" s="1" t="n">
        <v>0.0049</v>
      </c>
      <c r="F34" s="1" t="n">
        <v>-0.003277</v>
      </c>
      <c r="G34" s="1" t="n">
        <v>-0.021428</v>
      </c>
      <c r="I34" s="1" t="n">
        <f aca="false">F34-$B34</f>
        <v>-0.006677</v>
      </c>
      <c r="J34" s="1" t="n">
        <f aca="false">G34-$B34</f>
        <v>-0.024828</v>
      </c>
    </row>
    <row r="35" customFormat="false" ht="15" hidden="false" customHeight="false" outlineLevel="0" collapsed="false">
      <c r="A35" s="7" t="n">
        <v>26573</v>
      </c>
      <c r="B35" s="1" t="n">
        <v>0.004</v>
      </c>
      <c r="C35" s="1" t="n">
        <v>0.0052</v>
      </c>
      <c r="D35" s="1" t="n">
        <v>-0.0273</v>
      </c>
      <c r="E35" s="1" t="n">
        <v>0.0122</v>
      </c>
      <c r="F35" s="1" t="n">
        <v>0.010878</v>
      </c>
      <c r="G35" s="1" t="n">
        <v>0.003161</v>
      </c>
      <c r="I35" s="1" t="n">
        <f aca="false">F35-$B35</f>
        <v>0.006878</v>
      </c>
      <c r="J35" s="1" t="n">
        <f aca="false">G35-$B35</f>
        <v>-0.000839</v>
      </c>
    </row>
    <row r="36" customFormat="false" ht="15" hidden="false" customHeight="false" outlineLevel="0" collapsed="false">
      <c r="A36" s="7" t="n">
        <v>26604</v>
      </c>
      <c r="B36" s="1" t="n">
        <v>0.0037</v>
      </c>
      <c r="C36" s="1" t="n">
        <v>0.046</v>
      </c>
      <c r="D36" s="1" t="n">
        <v>-0.0118</v>
      </c>
      <c r="E36" s="1" t="n">
        <v>0.0488</v>
      </c>
      <c r="F36" s="1" t="n">
        <v>0.050297</v>
      </c>
      <c r="G36" s="1" t="n">
        <v>0.073014</v>
      </c>
      <c r="I36" s="1" t="n">
        <f aca="false">F36-$B36</f>
        <v>0.046597</v>
      </c>
      <c r="J36" s="1" t="n">
        <f aca="false">G36-$B36</f>
        <v>0.069314</v>
      </c>
    </row>
    <row r="37" customFormat="false" ht="15" hidden="false" customHeight="false" outlineLevel="0" collapsed="false">
      <c r="A37" s="7" t="n">
        <v>26634</v>
      </c>
      <c r="B37" s="1" t="n">
        <v>0.0037</v>
      </c>
      <c r="C37" s="1" t="n">
        <v>0.0062</v>
      </c>
      <c r="D37" s="1" t="n">
        <v>-0.0195</v>
      </c>
      <c r="E37" s="1" t="n">
        <v>-0.0218</v>
      </c>
      <c r="F37" s="1" t="n">
        <v>0.013663</v>
      </c>
      <c r="G37" s="1" t="n">
        <v>-0.011839</v>
      </c>
      <c r="I37" s="1" t="n">
        <f aca="false">F37-$B37</f>
        <v>0.009963</v>
      </c>
      <c r="J37" s="1" t="n">
        <f aca="false">G37-$B37</f>
        <v>-0.015539</v>
      </c>
    </row>
    <row r="38" customFormat="false" ht="15" hidden="false" customHeight="false" outlineLevel="0" collapsed="false">
      <c r="A38" s="7" t="n">
        <v>26665</v>
      </c>
      <c r="B38" s="1" t="n">
        <v>0.0044</v>
      </c>
      <c r="C38" s="1" t="n">
        <v>-0.0327</v>
      </c>
      <c r="D38" s="1" t="n">
        <v>-0.0349</v>
      </c>
      <c r="E38" s="1" t="n">
        <v>0.027</v>
      </c>
      <c r="F38" s="1" t="n">
        <v>-0.016752</v>
      </c>
      <c r="G38" s="1" t="n">
        <v>-0.049044</v>
      </c>
      <c r="I38" s="1" t="n">
        <f aca="false">F38-$B38</f>
        <v>-0.021152</v>
      </c>
      <c r="J38" s="1" t="n">
        <f aca="false">G38-$B38</f>
        <v>-0.053444</v>
      </c>
    </row>
    <row r="39" customFormat="false" ht="15" hidden="false" customHeight="false" outlineLevel="0" collapsed="false">
      <c r="A39" s="7" t="n">
        <v>26696</v>
      </c>
      <c r="B39" s="1" t="n">
        <v>0.0042</v>
      </c>
      <c r="C39" s="1" t="n">
        <v>-0.0485</v>
      </c>
      <c r="D39" s="1" t="n">
        <v>-0.0389</v>
      </c>
      <c r="E39" s="1" t="n">
        <v>0.0164</v>
      </c>
      <c r="F39" s="1" t="n">
        <v>-0.033818</v>
      </c>
      <c r="G39" s="1" t="n">
        <v>-0.048057</v>
      </c>
      <c r="I39" s="1" t="n">
        <f aca="false">F39-$B39</f>
        <v>-0.038018</v>
      </c>
      <c r="J39" s="1" t="n">
        <f aca="false">G39-$B39</f>
        <v>-0.052257</v>
      </c>
    </row>
    <row r="40" customFormat="false" ht="15" hidden="false" customHeight="false" outlineLevel="0" collapsed="false">
      <c r="A40" s="7" t="n">
        <v>26724</v>
      </c>
      <c r="B40" s="1" t="n">
        <v>0.0046</v>
      </c>
      <c r="C40" s="1" t="n">
        <v>-0.013</v>
      </c>
      <c r="D40" s="1" t="n">
        <v>-0.0278</v>
      </c>
      <c r="E40" s="1" t="n">
        <v>0.0257</v>
      </c>
      <c r="F40" s="1" t="n">
        <v>-0.001093</v>
      </c>
      <c r="G40" s="1" t="n">
        <v>-0.013546</v>
      </c>
      <c r="I40" s="1" t="n">
        <f aca="false">F40-$B40</f>
        <v>-0.005693</v>
      </c>
      <c r="J40" s="1" t="n">
        <f aca="false">G40-$B40</f>
        <v>-0.018146</v>
      </c>
    </row>
    <row r="41" customFormat="false" ht="15" hidden="false" customHeight="false" outlineLevel="0" collapsed="false">
      <c r="A41" s="7" t="n">
        <v>26755</v>
      </c>
      <c r="B41" s="1" t="n">
        <v>0.0052</v>
      </c>
      <c r="C41" s="1" t="n">
        <v>-0.0568</v>
      </c>
      <c r="D41" s="1" t="n">
        <v>-0.0384</v>
      </c>
      <c r="E41" s="1" t="n">
        <v>0.0539</v>
      </c>
      <c r="F41" s="1" t="n">
        <v>-0.040064</v>
      </c>
      <c r="G41" s="1" t="n">
        <v>-0.048872</v>
      </c>
      <c r="I41" s="1" t="n">
        <f aca="false">F41-$B41</f>
        <v>-0.045264</v>
      </c>
      <c r="J41" s="1" t="n">
        <f aca="false">G41-$B41</f>
        <v>-0.054072</v>
      </c>
    </row>
    <row r="42" customFormat="false" ht="15" hidden="false" customHeight="false" outlineLevel="0" collapsed="false">
      <c r="A42" s="7" t="n">
        <v>26785</v>
      </c>
      <c r="B42" s="1" t="n">
        <v>0.0051</v>
      </c>
      <c r="C42" s="1" t="n">
        <v>-0.0297</v>
      </c>
      <c r="D42" s="1" t="n">
        <v>-0.0627</v>
      </c>
      <c r="E42" s="1" t="n">
        <v>0.0038</v>
      </c>
      <c r="F42" s="1" t="n">
        <v>-0.01395</v>
      </c>
      <c r="G42" s="1" t="n">
        <v>-0.046895</v>
      </c>
      <c r="I42" s="1" t="n">
        <f aca="false">F42-$B42</f>
        <v>-0.01905</v>
      </c>
      <c r="J42" s="1" t="n">
        <f aca="false">G42-$B42</f>
        <v>-0.051995</v>
      </c>
    </row>
    <row r="43" customFormat="false" ht="15" hidden="false" customHeight="false" outlineLevel="0" collapsed="false">
      <c r="A43" s="7" t="n">
        <v>26816</v>
      </c>
      <c r="B43" s="1" t="n">
        <v>0.0051</v>
      </c>
      <c r="C43" s="1" t="n">
        <v>-0.0157</v>
      </c>
      <c r="D43" s="1" t="n">
        <v>-0.0284</v>
      </c>
      <c r="E43" s="1" t="n">
        <v>0.0114</v>
      </c>
      <c r="F43" s="1" t="n">
        <v>-0.005178</v>
      </c>
      <c r="G43" s="1" t="n">
        <v>-0.026751</v>
      </c>
      <c r="I43" s="1" t="n">
        <f aca="false">F43-$B43</f>
        <v>-0.010278</v>
      </c>
      <c r="J43" s="1" t="n">
        <f aca="false">G43-$B43</f>
        <v>-0.031851</v>
      </c>
    </row>
    <row r="44" customFormat="false" ht="15" hidden="false" customHeight="false" outlineLevel="0" collapsed="false">
      <c r="A44" s="7" t="n">
        <v>26846</v>
      </c>
      <c r="B44" s="1" t="n">
        <v>0.0064</v>
      </c>
      <c r="C44" s="1" t="n">
        <v>0.0504</v>
      </c>
      <c r="D44" s="1" t="n">
        <v>0.0792</v>
      </c>
      <c r="E44" s="1" t="n">
        <v>-0.0526</v>
      </c>
      <c r="F44" s="1" t="n">
        <v>0.039128</v>
      </c>
      <c r="G44" s="1" t="n">
        <v>0.074206</v>
      </c>
      <c r="I44" s="1" t="n">
        <f aca="false">F44-$B44</f>
        <v>0.032728</v>
      </c>
      <c r="J44" s="1" t="n">
        <f aca="false">G44-$B44</f>
        <v>0.067806</v>
      </c>
    </row>
    <row r="45" customFormat="false" ht="15" hidden="false" customHeight="false" outlineLevel="0" collapsed="false">
      <c r="A45" s="7" t="n">
        <v>26877</v>
      </c>
      <c r="B45" s="1" t="n">
        <v>0.007</v>
      </c>
      <c r="C45" s="1" t="n">
        <v>-0.0382</v>
      </c>
      <c r="D45" s="1" t="n">
        <v>-0.02</v>
      </c>
      <c r="E45" s="1" t="n">
        <v>0.0103</v>
      </c>
      <c r="F45" s="1" t="n">
        <v>-0.031544</v>
      </c>
      <c r="G45" s="1" t="n">
        <v>-0.02043</v>
      </c>
      <c r="I45" s="1" t="n">
        <f aca="false">F45-$B45</f>
        <v>-0.038544</v>
      </c>
      <c r="J45" s="1" t="n">
        <f aca="false">G45-$B45</f>
        <v>-0.02743</v>
      </c>
    </row>
    <row r="46" customFormat="false" ht="15" hidden="false" customHeight="false" outlineLevel="0" collapsed="false">
      <c r="A46" s="7" t="n">
        <v>26908</v>
      </c>
      <c r="B46" s="1" t="n">
        <v>0.0068</v>
      </c>
      <c r="C46" s="1" t="n">
        <v>0.0474</v>
      </c>
      <c r="D46" s="1" t="n">
        <v>0.0293</v>
      </c>
      <c r="E46" s="1" t="n">
        <v>0.0222</v>
      </c>
      <c r="F46" s="1" t="n">
        <v>0.042219</v>
      </c>
      <c r="G46" s="1" t="n">
        <v>0.095102</v>
      </c>
      <c r="I46" s="1" t="n">
        <f aca="false">F46-$B46</f>
        <v>0.035419</v>
      </c>
      <c r="J46" s="1" t="n">
        <f aca="false">G46-$B46</f>
        <v>0.088302</v>
      </c>
    </row>
    <row r="47" customFormat="false" ht="15" hidden="false" customHeight="false" outlineLevel="0" collapsed="false">
      <c r="A47" s="7" t="n">
        <v>26938</v>
      </c>
      <c r="B47" s="1" t="n">
        <v>0.0065</v>
      </c>
      <c r="C47" s="1" t="n">
        <v>-0.0083</v>
      </c>
      <c r="D47" s="1" t="n">
        <v>-0.0021</v>
      </c>
      <c r="E47" s="1" t="n">
        <v>0.0166</v>
      </c>
      <c r="F47" s="1" t="n">
        <v>0.000312</v>
      </c>
      <c r="G47" s="1" t="n">
        <v>0.00037</v>
      </c>
      <c r="I47" s="1" t="n">
        <f aca="false">F47-$B47</f>
        <v>-0.006188</v>
      </c>
      <c r="J47" s="1" t="n">
        <f aca="false">G47-$B47</f>
        <v>-0.00613</v>
      </c>
    </row>
    <row r="48" customFormat="false" ht="15" hidden="false" customHeight="false" outlineLevel="0" collapsed="false">
      <c r="A48" s="7" t="n">
        <v>26969</v>
      </c>
      <c r="B48" s="1" t="n">
        <v>0.0056</v>
      </c>
      <c r="C48" s="1" t="n">
        <v>-0.1278</v>
      </c>
      <c r="D48" s="1" t="n">
        <v>-0.0772</v>
      </c>
      <c r="E48" s="1" t="n">
        <v>0.0409</v>
      </c>
      <c r="F48" s="1" t="n">
        <v>-0.10722</v>
      </c>
      <c r="G48" s="1" t="n">
        <v>-0.150922</v>
      </c>
      <c r="I48" s="1" t="n">
        <f aca="false">F48-$B48</f>
        <v>-0.11282</v>
      </c>
      <c r="J48" s="1" t="n">
        <f aca="false">G48-$B48</f>
        <v>-0.156522</v>
      </c>
    </row>
    <row r="49" customFormat="false" ht="15" hidden="false" customHeight="false" outlineLevel="0" collapsed="false">
      <c r="A49" s="7" t="n">
        <v>26999</v>
      </c>
      <c r="B49" s="1" t="n">
        <v>0.0064</v>
      </c>
      <c r="C49" s="1" t="n">
        <v>0.0059</v>
      </c>
      <c r="D49" s="1" t="n">
        <v>-0.054</v>
      </c>
      <c r="E49" s="1" t="n">
        <v>0.0401</v>
      </c>
      <c r="F49" s="1" t="n">
        <v>0.017971</v>
      </c>
      <c r="G49" s="1" t="n">
        <v>0.010212</v>
      </c>
      <c r="I49" s="1" t="n">
        <f aca="false">F49-$B49</f>
        <v>0.011571</v>
      </c>
      <c r="J49" s="1" t="n">
        <f aca="false">G49-$B49</f>
        <v>0.003812</v>
      </c>
    </row>
    <row r="50" customFormat="false" ht="15" hidden="false" customHeight="false" outlineLevel="0" collapsed="false">
      <c r="A50" s="7" t="n">
        <v>27030</v>
      </c>
      <c r="B50" s="1" t="n">
        <v>0.0063</v>
      </c>
      <c r="C50" s="1" t="n">
        <v>-0.0016</v>
      </c>
      <c r="D50" s="1" t="n">
        <v>0.0968</v>
      </c>
      <c r="E50" s="1" t="n">
        <v>0.0595</v>
      </c>
      <c r="F50" s="1" t="n">
        <v>-0.00812</v>
      </c>
      <c r="G50" s="1" t="n">
        <v>0.070594</v>
      </c>
      <c r="I50" s="1" t="n">
        <f aca="false">F50-$B50</f>
        <v>-0.01442</v>
      </c>
      <c r="J50" s="1" t="n">
        <f aca="false">G50-$B50</f>
        <v>0.064294</v>
      </c>
    </row>
    <row r="51" customFormat="false" ht="15" hidden="false" customHeight="false" outlineLevel="0" collapsed="false">
      <c r="A51" s="7" t="n">
        <v>27061</v>
      </c>
      <c r="B51" s="1" t="n">
        <v>0.0058</v>
      </c>
      <c r="C51" s="1" t="n">
        <v>-0.0046</v>
      </c>
      <c r="D51" s="1" t="n">
        <v>0</v>
      </c>
      <c r="E51" s="1" t="n">
        <v>0.0247</v>
      </c>
      <c r="F51" s="1" t="n">
        <v>0.001992</v>
      </c>
      <c r="G51" s="1" t="n">
        <v>0.01525</v>
      </c>
      <c r="I51" s="1" t="n">
        <f aca="false">F51-$B51</f>
        <v>-0.003808</v>
      </c>
      <c r="J51" s="1" t="n">
        <f aca="false">G51-$B51</f>
        <v>0.00945</v>
      </c>
    </row>
    <row r="52" customFormat="false" ht="15" hidden="false" customHeight="false" outlineLevel="0" collapsed="false">
      <c r="A52" s="7" t="n">
        <v>27089</v>
      </c>
      <c r="B52" s="1" t="n">
        <v>0.0056</v>
      </c>
      <c r="C52" s="1" t="n">
        <v>-0.0282</v>
      </c>
      <c r="D52" s="1" t="n">
        <v>0.025</v>
      </c>
      <c r="E52" s="1" t="n">
        <v>-0.0014</v>
      </c>
      <c r="F52" s="1" t="n">
        <v>-0.021818</v>
      </c>
      <c r="G52" s="1" t="n">
        <v>-0.020739</v>
      </c>
      <c r="I52" s="1" t="n">
        <f aca="false">F52-$B52</f>
        <v>-0.027418</v>
      </c>
      <c r="J52" s="1" t="n">
        <f aca="false">G52-$B52</f>
        <v>-0.026339</v>
      </c>
    </row>
    <row r="53" customFormat="false" ht="15" hidden="false" customHeight="false" outlineLevel="0" collapsed="false">
      <c r="A53" s="7" t="n">
        <v>27120</v>
      </c>
      <c r="B53" s="1" t="n">
        <v>0.0075</v>
      </c>
      <c r="C53" s="1" t="n">
        <v>-0.0528</v>
      </c>
      <c r="D53" s="1" t="n">
        <v>-0.0068</v>
      </c>
      <c r="E53" s="1" t="n">
        <v>0.0092</v>
      </c>
      <c r="F53" s="1" t="n">
        <v>-0.037649</v>
      </c>
      <c r="G53" s="1" t="n">
        <v>-0.054491</v>
      </c>
      <c r="I53" s="1" t="n">
        <f aca="false">F53-$B53</f>
        <v>-0.045149</v>
      </c>
      <c r="J53" s="1" t="n">
        <f aca="false">G53-$B53</f>
        <v>-0.061991</v>
      </c>
    </row>
    <row r="54" customFormat="false" ht="15" hidden="false" customHeight="false" outlineLevel="0" collapsed="false">
      <c r="A54" s="7" t="n">
        <v>27150</v>
      </c>
      <c r="B54" s="1" t="n">
        <v>0.0075</v>
      </c>
      <c r="C54" s="1" t="n">
        <v>-0.047</v>
      </c>
      <c r="D54" s="1" t="n">
        <v>-0.0293</v>
      </c>
      <c r="E54" s="1" t="n">
        <v>-0.0208</v>
      </c>
      <c r="F54" s="1" t="n">
        <v>-0.026896</v>
      </c>
      <c r="G54" s="1" t="n">
        <v>-0.062036</v>
      </c>
      <c r="I54" s="1" t="n">
        <f aca="false">F54-$B54</f>
        <v>-0.034396</v>
      </c>
      <c r="J54" s="1" t="n">
        <f aca="false">G54-$B54</f>
        <v>-0.069536</v>
      </c>
    </row>
    <row r="55" customFormat="false" ht="15" hidden="false" customHeight="false" outlineLevel="0" collapsed="false">
      <c r="A55" s="7" t="n">
        <v>27181</v>
      </c>
      <c r="B55" s="1" t="n">
        <v>0.006</v>
      </c>
      <c r="C55" s="1" t="n">
        <v>-0.0284</v>
      </c>
      <c r="D55" s="1" t="n">
        <v>-0.0024</v>
      </c>
      <c r="E55" s="1" t="n">
        <v>0.0083</v>
      </c>
      <c r="F55" s="1" t="n">
        <v>-0.012816</v>
      </c>
      <c r="G55" s="1" t="n">
        <v>-0.028428</v>
      </c>
      <c r="I55" s="1" t="n">
        <f aca="false">F55-$B55</f>
        <v>-0.018816</v>
      </c>
      <c r="J55" s="1" t="n">
        <f aca="false">G55-$B55</f>
        <v>-0.034428</v>
      </c>
    </row>
    <row r="56" customFormat="false" ht="15" hidden="false" customHeight="false" outlineLevel="0" collapsed="false">
      <c r="A56" s="7" t="n">
        <v>27211</v>
      </c>
      <c r="B56" s="1" t="n">
        <v>0.007</v>
      </c>
      <c r="C56" s="1" t="n">
        <v>-0.0806</v>
      </c>
      <c r="D56" s="1" t="n">
        <v>0.0078</v>
      </c>
      <c r="E56" s="1" t="n">
        <v>0.0516</v>
      </c>
      <c r="F56" s="1" t="n">
        <v>-0.076698</v>
      </c>
      <c r="G56" s="1" t="n">
        <v>-0.048018</v>
      </c>
      <c r="I56" s="1" t="n">
        <f aca="false">F56-$B56</f>
        <v>-0.083698</v>
      </c>
      <c r="J56" s="1" t="n">
        <f aca="false">G56-$B56</f>
        <v>-0.055018</v>
      </c>
    </row>
    <row r="57" customFormat="false" ht="15" hidden="false" customHeight="false" outlineLevel="0" collapsed="false">
      <c r="A57" s="7" t="n">
        <v>27242</v>
      </c>
      <c r="B57" s="1" t="n">
        <v>0.006</v>
      </c>
      <c r="C57" s="1" t="n">
        <v>-0.0939</v>
      </c>
      <c r="D57" s="1" t="n">
        <v>-0.0069</v>
      </c>
      <c r="E57" s="1" t="n">
        <v>0.0261</v>
      </c>
      <c r="F57" s="1" t="n">
        <v>-0.082178</v>
      </c>
      <c r="G57" s="1" t="n">
        <v>-0.088521</v>
      </c>
      <c r="I57" s="1" t="n">
        <f aca="false">F57-$B57</f>
        <v>-0.088178</v>
      </c>
      <c r="J57" s="1" t="n">
        <f aca="false">G57-$B57</f>
        <v>-0.094521</v>
      </c>
    </row>
    <row r="58" customFormat="false" ht="15" hidden="false" customHeight="false" outlineLevel="0" collapsed="false">
      <c r="A58" s="7" t="n">
        <v>27273</v>
      </c>
      <c r="B58" s="1" t="n">
        <v>0.0081</v>
      </c>
      <c r="C58" s="1" t="n">
        <v>-0.1179</v>
      </c>
      <c r="D58" s="1" t="n">
        <v>0.0027</v>
      </c>
      <c r="E58" s="1" t="n">
        <v>0.0543</v>
      </c>
      <c r="F58" s="1" t="n">
        <v>-0.117511</v>
      </c>
      <c r="G58" s="1" t="n">
        <v>-0.080483</v>
      </c>
      <c r="I58" s="1" t="n">
        <f aca="false">F58-$B58</f>
        <v>-0.125611</v>
      </c>
      <c r="J58" s="1" t="n">
        <f aca="false">G58-$B58</f>
        <v>-0.088583</v>
      </c>
    </row>
    <row r="59" customFormat="false" ht="15" hidden="false" customHeight="false" outlineLevel="0" collapsed="false">
      <c r="A59" s="7" t="n">
        <v>27303</v>
      </c>
      <c r="B59" s="1" t="n">
        <v>0.0051</v>
      </c>
      <c r="C59" s="1" t="n">
        <v>0.1611</v>
      </c>
      <c r="D59" s="1" t="n">
        <v>-0.0343</v>
      </c>
      <c r="E59" s="1" t="n">
        <v>-0.0991</v>
      </c>
      <c r="F59" s="1" t="n">
        <v>0.168113</v>
      </c>
      <c r="G59" s="1" t="n">
        <v>0.136543</v>
      </c>
      <c r="I59" s="1" t="n">
        <f aca="false">F59-$B59</f>
        <v>0.163013</v>
      </c>
      <c r="J59" s="1" t="n">
        <f aca="false">G59-$B59</f>
        <v>0.131443</v>
      </c>
    </row>
    <row r="60" customFormat="false" ht="15" hidden="false" customHeight="false" outlineLevel="0" collapsed="false">
      <c r="A60" s="7" t="n">
        <v>27334</v>
      </c>
      <c r="B60" s="1" t="n">
        <v>0.0054</v>
      </c>
      <c r="C60" s="1" t="n">
        <v>-0.0453</v>
      </c>
      <c r="D60" s="1" t="n">
        <v>-0.0117</v>
      </c>
      <c r="E60" s="1" t="n">
        <v>-0.0025</v>
      </c>
      <c r="F60" s="1" t="n">
        <v>-0.045688</v>
      </c>
      <c r="G60" s="1" t="n">
        <v>-0.040366</v>
      </c>
      <c r="I60" s="1" t="n">
        <f aca="false">F60-$B60</f>
        <v>-0.051088</v>
      </c>
      <c r="J60" s="1" t="n">
        <f aca="false">G60-$B60</f>
        <v>-0.045766</v>
      </c>
    </row>
    <row r="61" customFormat="false" ht="15" hidden="false" customHeight="false" outlineLevel="0" collapsed="false">
      <c r="A61" s="7" t="n">
        <v>27364</v>
      </c>
      <c r="B61" s="1" t="n">
        <v>0.007</v>
      </c>
      <c r="C61" s="1" t="n">
        <v>-0.0344</v>
      </c>
      <c r="D61" s="1" t="n">
        <v>-0.0474</v>
      </c>
      <c r="E61" s="1" t="n">
        <v>0.0012</v>
      </c>
      <c r="F61" s="1" t="n">
        <v>-0.018022</v>
      </c>
      <c r="G61" s="1" t="n">
        <v>-0.034578</v>
      </c>
      <c r="I61" s="1" t="n">
        <f aca="false">F61-$B61</f>
        <v>-0.025022</v>
      </c>
      <c r="J61" s="1" t="n">
        <f aca="false">G61-$B61</f>
        <v>-0.041578</v>
      </c>
    </row>
    <row r="62" customFormat="false" ht="15" hidden="false" customHeight="false" outlineLevel="0" collapsed="false">
      <c r="A62" s="7" t="n">
        <v>27395</v>
      </c>
      <c r="B62" s="1" t="n">
        <v>0.0058</v>
      </c>
      <c r="C62" s="1" t="n">
        <v>0.1367</v>
      </c>
      <c r="D62" s="1" t="n">
        <v>0.1106</v>
      </c>
      <c r="E62" s="1" t="n">
        <v>0.0826</v>
      </c>
      <c r="F62" s="1" t="n">
        <v>0.12361</v>
      </c>
      <c r="G62" s="1" t="n">
        <v>0.231295</v>
      </c>
      <c r="I62" s="1" t="n">
        <f aca="false">F62-$B62</f>
        <v>0.11781</v>
      </c>
      <c r="J62" s="1" t="n">
        <f aca="false">G62-$B62</f>
        <v>0.225495</v>
      </c>
    </row>
    <row r="63" customFormat="false" ht="15" hidden="false" customHeight="false" outlineLevel="0" collapsed="false">
      <c r="A63" s="7" t="n">
        <v>27426</v>
      </c>
      <c r="B63" s="1" t="n">
        <v>0.0043</v>
      </c>
      <c r="C63" s="1" t="n">
        <v>0.0556</v>
      </c>
      <c r="D63" s="1" t="n">
        <v>0.0012</v>
      </c>
      <c r="E63" s="1" t="n">
        <v>-0.0447</v>
      </c>
      <c r="F63" s="1" t="n">
        <v>0.06746</v>
      </c>
      <c r="G63" s="1" t="n">
        <v>0.047101</v>
      </c>
      <c r="I63" s="1" t="n">
        <f aca="false">F63-$B63</f>
        <v>0.06316</v>
      </c>
      <c r="J63" s="1" t="n">
        <f aca="false">G63-$B63</f>
        <v>0.042801</v>
      </c>
    </row>
    <row r="64" customFormat="false" ht="15" hidden="false" customHeight="false" outlineLevel="0" collapsed="false">
      <c r="A64" s="7" t="n">
        <v>27454</v>
      </c>
      <c r="B64" s="1" t="n">
        <v>0.0041</v>
      </c>
      <c r="C64" s="1" t="n">
        <v>0.0266</v>
      </c>
      <c r="D64" s="1" t="n">
        <v>0.0375</v>
      </c>
      <c r="E64" s="1" t="n">
        <v>0.0242</v>
      </c>
      <c r="F64" s="1" t="n">
        <v>0.024014</v>
      </c>
      <c r="G64" s="1" t="n">
        <v>0.068629</v>
      </c>
      <c r="I64" s="1" t="n">
        <f aca="false">F64-$B64</f>
        <v>0.019914</v>
      </c>
      <c r="J64" s="1" t="n">
        <f aca="false">G64-$B64</f>
        <v>0.064529</v>
      </c>
    </row>
    <row r="65" customFormat="false" ht="15" hidden="false" customHeight="false" outlineLevel="0" collapsed="false">
      <c r="A65" s="7" t="n">
        <v>27485</v>
      </c>
      <c r="B65" s="1" t="n">
        <v>0.0044</v>
      </c>
      <c r="C65" s="1" t="n">
        <v>0.0422</v>
      </c>
      <c r="D65" s="1" t="n">
        <v>-0.0064</v>
      </c>
      <c r="E65" s="1" t="n">
        <v>-0.0113</v>
      </c>
      <c r="F65" s="1" t="n">
        <v>0.049424</v>
      </c>
      <c r="G65" s="1" t="n">
        <v>0.043086</v>
      </c>
      <c r="I65" s="1" t="n">
        <f aca="false">F65-$B65</f>
        <v>0.045024</v>
      </c>
      <c r="J65" s="1" t="n">
        <f aca="false">G65-$B65</f>
        <v>0.038686</v>
      </c>
    </row>
    <row r="66" customFormat="false" ht="15" hidden="false" customHeight="false" outlineLevel="0" collapsed="false">
      <c r="A66" s="7" t="n">
        <v>27515</v>
      </c>
      <c r="B66" s="1" t="n">
        <v>0.0044</v>
      </c>
      <c r="C66" s="1" t="n">
        <v>0.052</v>
      </c>
      <c r="D66" s="1" t="n">
        <v>0.0393</v>
      </c>
      <c r="E66" s="1" t="n">
        <v>-0.0405</v>
      </c>
      <c r="F66" s="1" t="n">
        <v>0.051193</v>
      </c>
      <c r="G66" s="1" t="n">
        <v>0.059038</v>
      </c>
      <c r="I66" s="1" t="n">
        <f aca="false">F66-$B66</f>
        <v>0.046793</v>
      </c>
      <c r="J66" s="1" t="n">
        <f aca="false">G66-$B66</f>
        <v>0.054638</v>
      </c>
    </row>
    <row r="67" customFormat="false" ht="15" hidden="false" customHeight="false" outlineLevel="0" collapsed="false">
      <c r="A67" s="7" t="n">
        <v>27546</v>
      </c>
      <c r="B67" s="1" t="n">
        <v>0.0041</v>
      </c>
      <c r="C67" s="1" t="n">
        <v>0.0487</v>
      </c>
      <c r="D67" s="1" t="n">
        <v>0.0081</v>
      </c>
      <c r="E67" s="1" t="n">
        <v>0.0135</v>
      </c>
      <c r="F67" s="1" t="n">
        <v>0.04622</v>
      </c>
      <c r="G67" s="1" t="n">
        <v>0.064032</v>
      </c>
      <c r="I67" s="1" t="n">
        <f aca="false">F67-$B67</f>
        <v>0.04212</v>
      </c>
      <c r="J67" s="1" t="n">
        <f aca="false">G67-$B67</f>
        <v>0.059932</v>
      </c>
    </row>
    <row r="68" customFormat="false" ht="15" hidden="false" customHeight="false" outlineLevel="0" collapsed="false">
      <c r="A68" s="7" t="n">
        <v>27576</v>
      </c>
      <c r="B68" s="1" t="n">
        <v>0.0048</v>
      </c>
      <c r="C68" s="1" t="n">
        <v>-0.066</v>
      </c>
      <c r="D68" s="1" t="n">
        <v>0.0266</v>
      </c>
      <c r="E68" s="1" t="n">
        <v>0.0176</v>
      </c>
      <c r="F68" s="1" t="n">
        <v>-0.065504</v>
      </c>
      <c r="G68" s="1" t="n">
        <v>-0.054769</v>
      </c>
      <c r="I68" s="1" t="n">
        <f aca="false">F68-$B68</f>
        <v>-0.070304</v>
      </c>
      <c r="J68" s="1" t="n">
        <f aca="false">G68-$B68</f>
        <v>-0.059569</v>
      </c>
    </row>
    <row r="69" customFormat="false" ht="15" hidden="false" customHeight="false" outlineLevel="0" collapsed="false">
      <c r="A69" s="7" t="n">
        <v>27607</v>
      </c>
      <c r="B69" s="1" t="n">
        <v>0.0048</v>
      </c>
      <c r="C69" s="1" t="n">
        <v>-0.0284</v>
      </c>
      <c r="D69" s="1" t="n">
        <v>-0.0317</v>
      </c>
      <c r="E69" s="1" t="n">
        <v>-0.0091</v>
      </c>
      <c r="F69" s="1" t="n">
        <v>-0.015663</v>
      </c>
      <c r="G69" s="1" t="n">
        <v>-0.028157</v>
      </c>
      <c r="I69" s="1" t="n">
        <f aca="false">F69-$B69</f>
        <v>-0.020463</v>
      </c>
      <c r="J69" s="1" t="n">
        <f aca="false">G69-$B69</f>
        <v>-0.032957</v>
      </c>
    </row>
    <row r="70" customFormat="false" ht="15" hidden="false" customHeight="false" outlineLevel="0" collapsed="false">
      <c r="A70" s="7" t="n">
        <v>27638</v>
      </c>
      <c r="B70" s="1" t="n">
        <v>0.0053</v>
      </c>
      <c r="C70" s="1" t="n">
        <v>-0.0426</v>
      </c>
      <c r="D70" s="1" t="n">
        <v>-0.0016</v>
      </c>
      <c r="E70" s="1" t="n">
        <v>0.0033</v>
      </c>
      <c r="F70" s="1" t="n">
        <v>-0.03225</v>
      </c>
      <c r="G70" s="1" t="n">
        <v>-0.035548</v>
      </c>
      <c r="I70" s="1" t="n">
        <f aca="false">F70-$B70</f>
        <v>-0.03755</v>
      </c>
      <c r="J70" s="1" t="n">
        <f aca="false">G70-$B70</f>
        <v>-0.040848</v>
      </c>
    </row>
    <row r="71" customFormat="false" ht="15" hidden="false" customHeight="false" outlineLevel="0" collapsed="false">
      <c r="A71" s="7" t="n">
        <v>27668</v>
      </c>
      <c r="B71" s="1" t="n">
        <v>0.0056</v>
      </c>
      <c r="C71" s="1" t="n">
        <v>0.0532</v>
      </c>
      <c r="D71" s="1" t="n">
        <v>-0.0408</v>
      </c>
      <c r="E71" s="1" t="n">
        <v>0.0035</v>
      </c>
      <c r="F71" s="1" t="n">
        <v>0.064855</v>
      </c>
      <c r="G71" s="1" t="n">
        <v>0.04802</v>
      </c>
      <c r="I71" s="1" t="n">
        <f aca="false">F71-$B71</f>
        <v>0.059255</v>
      </c>
      <c r="J71" s="1" t="n">
        <f aca="false">G71-$B71</f>
        <v>0.04242</v>
      </c>
    </row>
    <row r="72" customFormat="false" ht="15" hidden="false" customHeight="false" outlineLevel="0" collapsed="false">
      <c r="A72" s="7" t="n">
        <v>27699</v>
      </c>
      <c r="B72" s="1" t="n">
        <v>0.0041</v>
      </c>
      <c r="C72" s="1" t="n">
        <v>0.0265</v>
      </c>
      <c r="D72" s="1" t="n">
        <v>-0.0122</v>
      </c>
      <c r="E72" s="1" t="n">
        <v>0.0203</v>
      </c>
      <c r="F72" s="1" t="n">
        <v>0.030089</v>
      </c>
      <c r="G72" s="1" t="n">
        <v>0.035285</v>
      </c>
      <c r="I72" s="1" t="n">
        <f aca="false">F72-$B72</f>
        <v>0.025989</v>
      </c>
      <c r="J72" s="1" t="n">
        <f aca="false">G72-$B72</f>
        <v>0.031185</v>
      </c>
    </row>
    <row r="73" customFormat="false" ht="15" hidden="false" customHeight="false" outlineLevel="0" collapsed="false">
      <c r="A73" s="7" t="n">
        <v>27729</v>
      </c>
      <c r="B73" s="1" t="n">
        <v>0.0048</v>
      </c>
      <c r="C73" s="1" t="n">
        <v>-0.016</v>
      </c>
      <c r="D73" s="1" t="n">
        <v>-0.0087</v>
      </c>
      <c r="E73" s="1" t="n">
        <v>0.017</v>
      </c>
      <c r="F73" s="1" t="n">
        <v>-0.010485</v>
      </c>
      <c r="G73" s="1" t="n">
        <v>-0.002209</v>
      </c>
      <c r="I73" s="1" t="n">
        <f aca="false">F73-$B73</f>
        <v>-0.015285</v>
      </c>
      <c r="J73" s="1" t="n">
        <f aca="false">G73-$B73</f>
        <v>-0.007009</v>
      </c>
    </row>
    <row r="74" customFormat="false" ht="15" hidden="false" customHeight="false" outlineLevel="0" collapsed="false">
      <c r="A74" s="7" t="n">
        <v>27760</v>
      </c>
      <c r="B74" s="1" t="n">
        <v>0.0047</v>
      </c>
      <c r="C74" s="1" t="n">
        <v>0.1215</v>
      </c>
      <c r="D74" s="1" t="n">
        <v>0.0487</v>
      </c>
      <c r="E74" s="1" t="n">
        <v>0.0863</v>
      </c>
      <c r="F74" s="1" t="n">
        <v>0.120143</v>
      </c>
      <c r="G74" s="1" t="n">
        <v>0.160253</v>
      </c>
      <c r="I74" s="1" t="n">
        <f aca="false">F74-$B74</f>
        <v>0.115443</v>
      </c>
      <c r="J74" s="1" t="n">
        <f aca="false">G74-$B74</f>
        <v>0.155553</v>
      </c>
    </row>
    <row r="75" customFormat="false" ht="15" hidden="false" customHeight="false" outlineLevel="0" collapsed="false">
      <c r="A75" s="7" t="n">
        <v>27791</v>
      </c>
      <c r="B75" s="1" t="n">
        <v>0.0034</v>
      </c>
      <c r="C75" s="1" t="n">
        <v>0.0031</v>
      </c>
      <c r="D75" s="1" t="n">
        <v>0.0697</v>
      </c>
      <c r="E75" s="1" t="n">
        <v>0.0571</v>
      </c>
      <c r="F75" s="1" t="n">
        <v>-0.005757</v>
      </c>
      <c r="G75" s="1" t="n">
        <v>0.035711</v>
      </c>
      <c r="I75" s="1" t="n">
        <f aca="false">F75-$B75</f>
        <v>-0.009157</v>
      </c>
      <c r="J75" s="1" t="n">
        <f aca="false">G75-$B75</f>
        <v>0.032311</v>
      </c>
    </row>
    <row r="76" customFormat="false" ht="15" hidden="false" customHeight="false" outlineLevel="0" collapsed="false">
      <c r="A76" s="7" t="n">
        <v>27820</v>
      </c>
      <c r="B76" s="1" t="n">
        <v>0.004</v>
      </c>
      <c r="C76" s="1" t="n">
        <v>0.0232</v>
      </c>
      <c r="D76" s="1" t="n">
        <v>-0.0117</v>
      </c>
      <c r="E76" s="1" t="n">
        <v>-0.0011</v>
      </c>
      <c r="F76" s="1" t="n">
        <v>0.03264</v>
      </c>
      <c r="G76" s="1" t="n">
        <v>0.019319</v>
      </c>
      <c r="I76" s="1" t="n">
        <f aca="false">F76-$B76</f>
        <v>0.02864</v>
      </c>
      <c r="J76" s="1" t="n">
        <f aca="false">G76-$B76</f>
        <v>0.015319</v>
      </c>
    </row>
    <row r="77" customFormat="false" ht="15" hidden="false" customHeight="false" outlineLevel="0" collapsed="false">
      <c r="A77" s="7" t="n">
        <v>27851</v>
      </c>
      <c r="B77" s="1" t="n">
        <v>0.0042</v>
      </c>
      <c r="C77" s="1" t="n">
        <v>-0.0149</v>
      </c>
      <c r="D77" s="1" t="n">
        <v>-0.0008</v>
      </c>
      <c r="E77" s="1" t="n">
        <v>-0.0016</v>
      </c>
      <c r="F77" s="1" t="n">
        <v>-0.00961</v>
      </c>
      <c r="G77" s="1" t="n">
        <v>-0.008644</v>
      </c>
      <c r="I77" s="1" t="n">
        <f aca="false">F77-$B77</f>
        <v>-0.01381</v>
      </c>
      <c r="J77" s="1" t="n">
        <f aca="false">G77-$B77</f>
        <v>-0.012844</v>
      </c>
    </row>
    <row r="78" customFormat="false" ht="15" hidden="false" customHeight="false" outlineLevel="0" collapsed="false">
      <c r="A78" s="7" t="n">
        <v>27881</v>
      </c>
      <c r="B78" s="1" t="n">
        <v>0.0037</v>
      </c>
      <c r="C78" s="1" t="n">
        <v>-0.0134</v>
      </c>
      <c r="D78" s="1" t="n">
        <v>-0.0119</v>
      </c>
      <c r="E78" s="1" t="n">
        <v>-0.0129</v>
      </c>
      <c r="F78" s="1" t="n">
        <v>-0.008116</v>
      </c>
      <c r="G78" s="1" t="n">
        <v>-0.016461</v>
      </c>
      <c r="I78" s="1" t="n">
        <f aca="false">F78-$B78</f>
        <v>-0.011816</v>
      </c>
      <c r="J78" s="1" t="n">
        <f aca="false">G78-$B78</f>
        <v>-0.020161</v>
      </c>
    </row>
    <row r="79" customFormat="false" ht="15" hidden="false" customHeight="false" outlineLevel="0" collapsed="false">
      <c r="A79" s="7" t="n">
        <v>27912</v>
      </c>
      <c r="B79" s="1" t="n">
        <v>0.0043</v>
      </c>
      <c r="C79" s="1" t="n">
        <v>0.0406</v>
      </c>
      <c r="D79" s="1" t="n">
        <v>-0.0132</v>
      </c>
      <c r="E79" s="1" t="n">
        <v>0.0073</v>
      </c>
      <c r="F79" s="1" t="n">
        <v>0.043959</v>
      </c>
      <c r="G79" s="1" t="n">
        <v>0.054092</v>
      </c>
      <c r="I79" s="1" t="n">
        <f aca="false">F79-$B79</f>
        <v>0.039659</v>
      </c>
      <c r="J79" s="1" t="n">
        <f aca="false">G79-$B79</f>
        <v>0.049792</v>
      </c>
    </row>
    <row r="80" customFormat="false" ht="15" hidden="false" customHeight="false" outlineLevel="0" collapsed="false">
      <c r="A80" s="7" t="n">
        <v>27942</v>
      </c>
      <c r="B80" s="1" t="n">
        <v>0.0047</v>
      </c>
      <c r="C80" s="1" t="n">
        <v>-0.0106</v>
      </c>
      <c r="D80" s="1" t="n">
        <v>0.0028</v>
      </c>
      <c r="E80" s="1" t="n">
        <v>0.0174</v>
      </c>
      <c r="F80" s="1" t="n">
        <v>-0.007202</v>
      </c>
      <c r="G80" s="1" t="n">
        <v>-0.006056</v>
      </c>
      <c r="I80" s="1" t="n">
        <f aca="false">F80-$B80</f>
        <v>-0.011902</v>
      </c>
      <c r="J80" s="1" t="n">
        <f aca="false">G80-$B80</f>
        <v>-0.010756</v>
      </c>
    </row>
    <row r="81" customFormat="false" ht="15" hidden="false" customHeight="false" outlineLevel="0" collapsed="false">
      <c r="A81" s="7" t="n">
        <v>27973</v>
      </c>
      <c r="B81" s="1" t="n">
        <v>0.0042</v>
      </c>
      <c r="C81" s="1" t="n">
        <v>-0.0057</v>
      </c>
      <c r="D81" s="1" t="n">
        <v>-0.0205</v>
      </c>
      <c r="E81" s="1" t="n">
        <v>0.0079</v>
      </c>
      <c r="F81" s="1" t="n">
        <v>0.001599</v>
      </c>
      <c r="G81" s="1" t="n">
        <v>-0.010466</v>
      </c>
      <c r="I81" s="1" t="n">
        <f aca="false">F81-$B81</f>
        <v>-0.002601</v>
      </c>
      <c r="J81" s="1" t="n">
        <f aca="false">G81-$B81</f>
        <v>-0.014666</v>
      </c>
    </row>
    <row r="82" customFormat="false" ht="15" hidden="false" customHeight="false" outlineLevel="0" collapsed="false">
      <c r="A82" s="7" t="n">
        <v>28004</v>
      </c>
      <c r="B82" s="1" t="n">
        <v>0.0044</v>
      </c>
      <c r="C82" s="1" t="n">
        <v>0.0206</v>
      </c>
      <c r="D82" s="1" t="n">
        <v>0.0008</v>
      </c>
      <c r="E82" s="1" t="n">
        <v>-0.0031</v>
      </c>
      <c r="F82" s="1" t="n">
        <v>0.024421</v>
      </c>
      <c r="G82" s="1" t="n">
        <v>0.01988</v>
      </c>
      <c r="I82" s="1" t="n">
        <f aca="false">F82-$B82</f>
        <v>0.020021</v>
      </c>
      <c r="J82" s="1" t="n">
        <f aca="false">G82-$B82</f>
        <v>0.01548</v>
      </c>
    </row>
    <row r="83" customFormat="false" ht="15" hidden="false" customHeight="false" outlineLevel="0" collapsed="false">
      <c r="A83" s="7" t="n">
        <v>28034</v>
      </c>
      <c r="B83" s="1" t="n">
        <v>0.0041</v>
      </c>
      <c r="C83" s="1" t="n">
        <v>-0.0242</v>
      </c>
      <c r="D83" s="1" t="n">
        <v>0.0014</v>
      </c>
      <c r="E83" s="1" t="n">
        <v>-0.0017</v>
      </c>
      <c r="F83" s="1" t="n">
        <v>-0.020211</v>
      </c>
      <c r="G83" s="1" t="n">
        <v>-0.024064</v>
      </c>
      <c r="I83" s="1" t="n">
        <f aca="false">F83-$B83</f>
        <v>-0.024311</v>
      </c>
      <c r="J83" s="1" t="n">
        <f aca="false">G83-$B83</f>
        <v>-0.028164</v>
      </c>
    </row>
    <row r="84" customFormat="false" ht="15" hidden="false" customHeight="false" outlineLevel="0" collapsed="false">
      <c r="A84" s="7" t="n">
        <v>28065</v>
      </c>
      <c r="B84" s="1" t="n">
        <v>0.004</v>
      </c>
      <c r="C84" s="1" t="n">
        <v>0.0036</v>
      </c>
      <c r="D84" s="1" t="n">
        <v>0.0234</v>
      </c>
      <c r="E84" s="1" t="n">
        <v>0.0153</v>
      </c>
      <c r="F84" s="1" t="n">
        <v>-0.001041</v>
      </c>
      <c r="G84" s="1" t="n">
        <v>0.022976</v>
      </c>
      <c r="I84" s="1" t="n">
        <f aca="false">F84-$B84</f>
        <v>-0.005041</v>
      </c>
      <c r="J84" s="1" t="n">
        <f aca="false">G84-$B84</f>
        <v>0.018976</v>
      </c>
    </row>
    <row r="85" customFormat="false" ht="15" hidden="false" customHeight="false" outlineLevel="0" collapsed="false">
      <c r="A85" s="7" t="n">
        <v>28095</v>
      </c>
      <c r="B85" s="1" t="n">
        <v>0.004</v>
      </c>
      <c r="C85" s="1" t="n">
        <v>0.0565</v>
      </c>
      <c r="D85" s="1" t="n">
        <v>0.0303</v>
      </c>
      <c r="E85" s="1" t="n">
        <v>0.0223</v>
      </c>
      <c r="F85" s="1" t="n">
        <v>0.053775</v>
      </c>
      <c r="G85" s="1" t="n">
        <v>0.074751</v>
      </c>
      <c r="I85" s="1" t="n">
        <f aca="false">F85-$B85</f>
        <v>0.049775</v>
      </c>
      <c r="J85" s="1" t="n">
        <f aca="false">G85-$B85</f>
        <v>0.070751</v>
      </c>
    </row>
    <row r="86" customFormat="false" ht="15" hidden="false" customHeight="false" outlineLevel="0" collapsed="false">
      <c r="A86" s="7" t="n">
        <v>28126</v>
      </c>
      <c r="B86" s="1" t="n">
        <v>0.0036</v>
      </c>
      <c r="C86" s="1" t="n">
        <v>-0.0403</v>
      </c>
      <c r="D86" s="1" t="n">
        <v>0.0475</v>
      </c>
      <c r="E86" s="1" t="n">
        <v>0.0432</v>
      </c>
      <c r="F86" s="1" t="n">
        <v>-0.049654</v>
      </c>
      <c r="G86" s="1" t="n">
        <v>-0.033987</v>
      </c>
      <c r="I86" s="1" t="n">
        <f aca="false">F86-$B86</f>
        <v>-0.053254</v>
      </c>
      <c r="J86" s="1" t="n">
        <f aca="false">G86-$B86</f>
        <v>-0.037587</v>
      </c>
    </row>
    <row r="87" customFormat="false" ht="15" hidden="false" customHeight="false" outlineLevel="0" collapsed="false">
      <c r="A87" s="7" t="n">
        <v>28157</v>
      </c>
      <c r="B87" s="1" t="n">
        <v>0.0035</v>
      </c>
      <c r="C87" s="1" t="n">
        <v>-0.0194</v>
      </c>
      <c r="D87" s="1" t="n">
        <v>0.0103</v>
      </c>
      <c r="E87" s="1" t="n">
        <v>0.0045</v>
      </c>
      <c r="F87" s="1" t="n">
        <v>-0.015639</v>
      </c>
      <c r="G87" s="1" t="n">
        <v>-0.018894</v>
      </c>
      <c r="I87" s="1" t="n">
        <f aca="false">F87-$B87</f>
        <v>-0.019139</v>
      </c>
      <c r="J87" s="1" t="n">
        <f aca="false">G87-$B87</f>
        <v>-0.022394</v>
      </c>
    </row>
    <row r="88" customFormat="false" ht="15" hidden="false" customHeight="false" outlineLevel="0" collapsed="false">
      <c r="A88" s="7" t="n">
        <v>28185</v>
      </c>
      <c r="B88" s="1" t="n">
        <v>0.0038</v>
      </c>
      <c r="C88" s="1" t="n">
        <v>-0.0135</v>
      </c>
      <c r="D88" s="1" t="n">
        <v>0.0099</v>
      </c>
      <c r="E88" s="1" t="n">
        <v>0.0109</v>
      </c>
      <c r="F88" s="1" t="n">
        <v>-0.012502</v>
      </c>
      <c r="G88" s="1" t="n">
        <v>0.000757</v>
      </c>
      <c r="I88" s="1" t="n">
        <f aca="false">F88-$B88</f>
        <v>-0.016302</v>
      </c>
      <c r="J88" s="1" t="n">
        <f aca="false">G88-$B88</f>
        <v>-0.003043</v>
      </c>
    </row>
    <row r="89" customFormat="false" ht="15" hidden="false" customHeight="false" outlineLevel="0" collapsed="false">
      <c r="A89" s="7" t="n">
        <v>28216</v>
      </c>
      <c r="B89" s="1" t="n">
        <v>0.0038</v>
      </c>
      <c r="C89" s="1" t="n">
        <v>0.0015</v>
      </c>
      <c r="D89" s="1" t="n">
        <v>-0.0013</v>
      </c>
      <c r="E89" s="1" t="n">
        <v>0.0338</v>
      </c>
      <c r="F89" s="1" t="n">
        <v>0.000641</v>
      </c>
      <c r="G89" s="1" t="n">
        <v>0.008245</v>
      </c>
      <c r="I89" s="1" t="n">
        <f aca="false">F89-$B89</f>
        <v>-0.003159</v>
      </c>
      <c r="J89" s="1" t="n">
        <f aca="false">G89-$B89</f>
        <v>0.004445</v>
      </c>
    </row>
    <row r="90" customFormat="false" ht="15" hidden="false" customHeight="false" outlineLevel="0" collapsed="false">
      <c r="A90" s="7" t="n">
        <v>28246</v>
      </c>
      <c r="B90" s="1" t="n">
        <v>0.0037</v>
      </c>
      <c r="C90" s="1" t="n">
        <v>-0.0147</v>
      </c>
      <c r="D90" s="1" t="n">
        <v>0.0125</v>
      </c>
      <c r="E90" s="1" t="n">
        <v>0.0081</v>
      </c>
      <c r="F90" s="1" t="n">
        <v>-0.015064</v>
      </c>
      <c r="G90" s="1" t="n">
        <v>-0.013983</v>
      </c>
      <c r="I90" s="1" t="n">
        <f aca="false">F90-$B90</f>
        <v>-0.018764</v>
      </c>
      <c r="J90" s="1" t="n">
        <f aca="false">G90-$B90</f>
        <v>-0.017683</v>
      </c>
    </row>
    <row r="91" customFormat="false" ht="15" hidden="false" customHeight="false" outlineLevel="0" collapsed="false">
      <c r="A91" s="7" t="n">
        <v>28277</v>
      </c>
      <c r="B91" s="1" t="n">
        <v>0.004</v>
      </c>
      <c r="C91" s="1" t="n">
        <v>0.0472</v>
      </c>
      <c r="D91" s="1" t="n">
        <v>0.0207</v>
      </c>
      <c r="E91" s="1" t="n">
        <v>-0.0062</v>
      </c>
      <c r="F91" s="1" t="n">
        <v>0.047776</v>
      </c>
      <c r="G91" s="1" t="n">
        <v>0.052666</v>
      </c>
      <c r="I91" s="1" t="n">
        <f aca="false">F91-$B91</f>
        <v>0.043776</v>
      </c>
      <c r="J91" s="1" t="n">
        <f aca="false">G91-$B91</f>
        <v>0.048666</v>
      </c>
    </row>
    <row r="92" customFormat="false" ht="15" hidden="false" customHeight="false" outlineLevel="0" collapsed="false">
      <c r="A92" s="7" t="n">
        <v>28307</v>
      </c>
      <c r="B92" s="1" t="n">
        <v>0.0042</v>
      </c>
      <c r="C92" s="1" t="n">
        <v>-0.0169</v>
      </c>
      <c r="D92" s="1" t="n">
        <v>0.0209</v>
      </c>
      <c r="E92" s="1" t="n">
        <v>-0.006</v>
      </c>
      <c r="F92" s="1" t="n">
        <v>-0.015454</v>
      </c>
      <c r="G92" s="1" t="n">
        <v>-0.017614</v>
      </c>
      <c r="I92" s="1" t="n">
        <f aca="false">F92-$B92</f>
        <v>-0.019654</v>
      </c>
      <c r="J92" s="1" t="n">
        <f aca="false">G92-$B92</f>
        <v>-0.021814</v>
      </c>
    </row>
    <row r="93" customFormat="false" ht="15" hidden="false" customHeight="false" outlineLevel="0" collapsed="false">
      <c r="A93" s="7" t="n">
        <v>28338</v>
      </c>
      <c r="B93" s="1" t="n">
        <v>0.0044</v>
      </c>
      <c r="C93" s="1" t="n">
        <v>-0.0176</v>
      </c>
      <c r="D93" s="1" t="n">
        <v>0.0155</v>
      </c>
      <c r="E93" s="1" t="n">
        <v>-0.0277</v>
      </c>
      <c r="F93" s="1" t="n">
        <v>-0.01231</v>
      </c>
      <c r="G93" s="1" t="n">
        <v>-0.014607</v>
      </c>
      <c r="I93" s="1" t="n">
        <f aca="false">F93-$B93</f>
        <v>-0.01671</v>
      </c>
      <c r="J93" s="1" t="n">
        <f aca="false">G93-$B93</f>
        <v>-0.019007</v>
      </c>
    </row>
    <row r="94" customFormat="false" ht="15" hidden="false" customHeight="false" outlineLevel="0" collapsed="false">
      <c r="A94" s="7" t="n">
        <v>28369</v>
      </c>
      <c r="B94" s="1" t="n">
        <v>0.0043</v>
      </c>
      <c r="C94" s="1" t="n">
        <v>-0.0027</v>
      </c>
      <c r="D94" s="1" t="n">
        <v>0.015</v>
      </c>
      <c r="E94" s="1" t="n">
        <v>-0.0026</v>
      </c>
      <c r="F94" s="1" t="n">
        <v>-0.000825</v>
      </c>
      <c r="G94" s="1" t="n">
        <v>-0.00194</v>
      </c>
      <c r="I94" s="1" t="n">
        <f aca="false">F94-$B94</f>
        <v>-0.005125</v>
      </c>
      <c r="J94" s="1" t="n">
        <f aca="false">G94-$B94</f>
        <v>-0.00624</v>
      </c>
    </row>
    <row r="95" customFormat="false" ht="15" hidden="false" customHeight="false" outlineLevel="0" collapsed="false">
      <c r="A95" s="7" t="n">
        <v>28399</v>
      </c>
      <c r="B95" s="1" t="n">
        <v>0.0049</v>
      </c>
      <c r="C95" s="1" t="n">
        <v>-0.0439</v>
      </c>
      <c r="D95" s="1" t="n">
        <v>0.0119</v>
      </c>
      <c r="E95" s="1" t="n">
        <v>0.0162</v>
      </c>
      <c r="F95" s="1" t="n">
        <v>-0.041985</v>
      </c>
      <c r="G95" s="1" t="n">
        <v>-0.037299</v>
      </c>
      <c r="I95" s="1" t="n">
        <f aca="false">F95-$B95</f>
        <v>-0.046885</v>
      </c>
      <c r="J95" s="1" t="n">
        <f aca="false">G95-$B95</f>
        <v>-0.042199</v>
      </c>
    </row>
    <row r="96" customFormat="false" ht="15" hidden="false" customHeight="false" outlineLevel="0" collapsed="false">
      <c r="A96" s="7" t="n">
        <v>28430</v>
      </c>
      <c r="B96" s="1" t="n">
        <v>0.005</v>
      </c>
      <c r="C96" s="1" t="n">
        <v>0.04</v>
      </c>
      <c r="D96" s="1" t="n">
        <v>0.0368</v>
      </c>
      <c r="E96" s="1" t="n">
        <v>0.0023</v>
      </c>
      <c r="F96" s="1" t="n">
        <v>0.036752</v>
      </c>
      <c r="G96" s="1" t="n">
        <v>0.06286</v>
      </c>
      <c r="I96" s="1" t="n">
        <f aca="false">F96-$B96</f>
        <v>0.031752</v>
      </c>
      <c r="J96" s="1" t="n">
        <f aca="false">G96-$B96</f>
        <v>0.05786</v>
      </c>
    </row>
    <row r="97" customFormat="false" ht="15" hidden="false" customHeight="false" outlineLevel="0" collapsed="false">
      <c r="A97" s="7" t="n">
        <v>28460</v>
      </c>
      <c r="B97" s="1" t="n">
        <v>0.0049</v>
      </c>
      <c r="C97" s="1" t="n">
        <v>0.0027</v>
      </c>
      <c r="D97" s="1" t="n">
        <v>0.0136</v>
      </c>
      <c r="E97" s="1" t="n">
        <v>-0.0029</v>
      </c>
      <c r="F97" s="1" t="n">
        <v>0.00557</v>
      </c>
      <c r="G97" s="1" t="n">
        <v>0.001322</v>
      </c>
      <c r="I97" s="1" t="n">
        <f aca="false">F97-$B97</f>
        <v>0.000670000000000001</v>
      </c>
      <c r="J97" s="1" t="n">
        <f aca="false">G97-$B97</f>
        <v>-0.003578</v>
      </c>
    </row>
    <row r="98" customFormat="false" ht="15" hidden="false" customHeight="false" outlineLevel="0" collapsed="false">
      <c r="A98" s="7" t="n">
        <v>28491</v>
      </c>
      <c r="B98" s="1" t="n">
        <v>0.0049</v>
      </c>
      <c r="C98" s="1" t="n">
        <v>-0.06</v>
      </c>
      <c r="D98" s="1" t="n">
        <v>0.0228</v>
      </c>
      <c r="E98" s="1" t="n">
        <v>0.0338</v>
      </c>
      <c r="F98" s="1" t="n">
        <v>-0.060643</v>
      </c>
      <c r="G98" s="1" t="n">
        <v>-0.052203</v>
      </c>
      <c r="I98" s="1" t="n">
        <f aca="false">F98-$B98</f>
        <v>-0.065543</v>
      </c>
      <c r="J98" s="1" t="n">
        <f aca="false">G98-$B98</f>
        <v>-0.057103</v>
      </c>
    </row>
    <row r="99" customFormat="false" ht="15" hidden="false" customHeight="false" outlineLevel="0" collapsed="false">
      <c r="A99" s="7" t="n">
        <v>28522</v>
      </c>
      <c r="B99" s="1" t="n">
        <v>0.0046</v>
      </c>
      <c r="C99" s="1" t="n">
        <v>-0.0139</v>
      </c>
      <c r="D99" s="1" t="n">
        <v>0.0359</v>
      </c>
      <c r="E99" s="1" t="n">
        <v>0.0081</v>
      </c>
      <c r="F99" s="1" t="n">
        <v>-0.01626</v>
      </c>
      <c r="G99" s="1" t="n">
        <v>-0.010106</v>
      </c>
      <c r="I99" s="1" t="n">
        <f aca="false">F99-$B99</f>
        <v>-0.02086</v>
      </c>
      <c r="J99" s="1" t="n">
        <f aca="false">G99-$B99</f>
        <v>-0.014706</v>
      </c>
    </row>
    <row r="100" customFormat="false" ht="15" hidden="false" customHeight="false" outlineLevel="0" collapsed="false">
      <c r="A100" s="7" t="n">
        <v>28550</v>
      </c>
      <c r="B100" s="1" t="n">
        <v>0.0053</v>
      </c>
      <c r="C100" s="1" t="n">
        <v>0.0285</v>
      </c>
      <c r="D100" s="1" t="n">
        <v>0.0344</v>
      </c>
      <c r="E100" s="1" t="n">
        <v>0.0115</v>
      </c>
      <c r="F100" s="1" t="n">
        <v>0.026925</v>
      </c>
      <c r="G100" s="1" t="n">
        <v>0.052852</v>
      </c>
      <c r="I100" s="1" t="n">
        <f aca="false">F100-$B100</f>
        <v>0.021625</v>
      </c>
      <c r="J100" s="1" t="n">
        <f aca="false">G100-$B100</f>
        <v>0.047552</v>
      </c>
    </row>
    <row r="101" customFormat="false" ht="15" hidden="false" customHeight="false" outlineLevel="0" collapsed="false">
      <c r="A101" s="7" t="n">
        <v>28581</v>
      </c>
      <c r="B101" s="1" t="n">
        <v>0.0054</v>
      </c>
      <c r="C101" s="1" t="n">
        <v>0.0787</v>
      </c>
      <c r="D101" s="1" t="n">
        <v>0.0036</v>
      </c>
      <c r="E101" s="1" t="n">
        <v>-0.0354</v>
      </c>
      <c r="F101" s="1" t="n">
        <v>0.088964</v>
      </c>
      <c r="G101" s="1" t="n">
        <v>0.084346</v>
      </c>
      <c r="I101" s="1" t="n">
        <f aca="false">F101-$B101</f>
        <v>0.083564</v>
      </c>
      <c r="J101" s="1" t="n">
        <f aca="false">G101-$B101</f>
        <v>0.078946</v>
      </c>
    </row>
    <row r="102" customFormat="false" ht="15" hidden="false" customHeight="false" outlineLevel="0" collapsed="false">
      <c r="A102" s="7" t="n">
        <v>28611</v>
      </c>
      <c r="B102" s="1" t="n">
        <v>0.0051</v>
      </c>
      <c r="C102" s="1" t="n">
        <v>0.0176</v>
      </c>
      <c r="D102" s="1" t="n">
        <v>0.0453</v>
      </c>
      <c r="E102" s="1" t="n">
        <v>-0.0055</v>
      </c>
      <c r="F102" s="1" t="n">
        <v>0.013719</v>
      </c>
      <c r="G102" s="1" t="n">
        <v>0.033585</v>
      </c>
      <c r="I102" s="1" t="n">
        <f aca="false">F102-$B102</f>
        <v>0.008619</v>
      </c>
      <c r="J102" s="1" t="n">
        <f aca="false">G102-$B102</f>
        <v>0.028485</v>
      </c>
    </row>
    <row r="103" customFormat="false" ht="15" hidden="false" customHeight="false" outlineLevel="0" collapsed="false">
      <c r="A103" s="7" t="n">
        <v>28642</v>
      </c>
      <c r="B103" s="1" t="n">
        <v>0.0054</v>
      </c>
      <c r="C103" s="1" t="n">
        <v>-0.0169</v>
      </c>
      <c r="D103" s="1" t="n">
        <v>0.0174</v>
      </c>
      <c r="E103" s="1" t="n">
        <v>0.006</v>
      </c>
      <c r="F103" s="1" t="n">
        <v>-0.016578</v>
      </c>
      <c r="G103" s="1" t="n">
        <v>-0.012138</v>
      </c>
      <c r="I103" s="1" t="n">
        <f aca="false">F103-$B103</f>
        <v>-0.021978</v>
      </c>
      <c r="J103" s="1" t="n">
        <f aca="false">G103-$B103</f>
        <v>-0.017538</v>
      </c>
    </row>
    <row r="104" customFormat="false" ht="15" hidden="false" customHeight="false" outlineLevel="0" collapsed="false">
      <c r="A104" s="7" t="n">
        <v>28672</v>
      </c>
      <c r="B104" s="1" t="n">
        <v>0.0056</v>
      </c>
      <c r="C104" s="1" t="n">
        <v>0.0512</v>
      </c>
      <c r="D104" s="1" t="n">
        <v>0.0029</v>
      </c>
      <c r="E104" s="1" t="n">
        <v>-0.01</v>
      </c>
      <c r="F104" s="1" t="n">
        <v>0.056975</v>
      </c>
      <c r="G104" s="1" t="n">
        <v>0.061513</v>
      </c>
      <c r="I104" s="1" t="n">
        <f aca="false">F104-$B104</f>
        <v>0.051375</v>
      </c>
      <c r="J104" s="1" t="n">
        <f aca="false">G104-$B104</f>
        <v>0.055913</v>
      </c>
    </row>
    <row r="105" customFormat="false" ht="15" hidden="false" customHeight="false" outlineLevel="0" collapsed="false">
      <c r="A105" s="7" t="n">
        <v>28703</v>
      </c>
      <c r="B105" s="1" t="n">
        <v>0.0056</v>
      </c>
      <c r="C105" s="1" t="n">
        <v>0.0378</v>
      </c>
      <c r="D105" s="1" t="n">
        <v>0.0506</v>
      </c>
      <c r="E105" s="1" t="n">
        <v>-0.0066</v>
      </c>
      <c r="F105" s="1" t="n">
        <v>0.033641</v>
      </c>
      <c r="G105" s="1" t="n">
        <v>0.050556</v>
      </c>
      <c r="I105" s="1" t="n">
        <f aca="false">F105-$B105</f>
        <v>0.028041</v>
      </c>
      <c r="J105" s="1" t="n">
        <f aca="false">G105-$B105</f>
        <v>0.044956</v>
      </c>
    </row>
    <row r="106" customFormat="false" ht="15" hidden="false" customHeight="false" outlineLevel="0" collapsed="false">
      <c r="A106" s="7" t="n">
        <v>28734</v>
      </c>
      <c r="B106" s="1" t="n">
        <v>0.0062</v>
      </c>
      <c r="C106" s="1" t="n">
        <v>-0.0144</v>
      </c>
      <c r="D106" s="1" t="n">
        <v>-0.0049</v>
      </c>
      <c r="E106" s="1" t="n">
        <v>0.0188</v>
      </c>
      <c r="F106" s="1" t="n">
        <v>-0.005163</v>
      </c>
      <c r="G106" s="1" t="n">
        <v>-0.008445</v>
      </c>
      <c r="I106" s="1" t="n">
        <f aca="false">F106-$B106</f>
        <v>-0.011363</v>
      </c>
      <c r="J106" s="1" t="n">
        <f aca="false">G106-$B106</f>
        <v>-0.014645</v>
      </c>
    </row>
    <row r="107" customFormat="false" ht="15" hidden="false" customHeight="false" outlineLevel="0" collapsed="false">
      <c r="A107" s="7" t="n">
        <v>28764</v>
      </c>
      <c r="B107" s="1" t="n">
        <v>0.0068</v>
      </c>
      <c r="C107" s="1" t="n">
        <v>-0.119</v>
      </c>
      <c r="D107" s="1" t="n">
        <v>-0.0989</v>
      </c>
      <c r="E107" s="1" t="n">
        <v>0.0126</v>
      </c>
      <c r="F107" s="1" t="n">
        <v>-0.08957</v>
      </c>
      <c r="G107" s="1" t="n">
        <v>-0.132708</v>
      </c>
      <c r="I107" s="1" t="n">
        <f aca="false">F107-$B107</f>
        <v>-0.09637</v>
      </c>
      <c r="J107" s="1" t="n">
        <f aca="false">G107-$B107</f>
        <v>-0.139508</v>
      </c>
    </row>
    <row r="108" customFormat="false" ht="15" hidden="false" customHeight="false" outlineLevel="0" collapsed="false">
      <c r="A108" s="7" t="n">
        <v>28795</v>
      </c>
      <c r="B108" s="1" t="n">
        <v>0.007</v>
      </c>
      <c r="C108" s="1" t="n">
        <v>0.0271</v>
      </c>
      <c r="D108" s="1" t="n">
        <v>0.0306</v>
      </c>
      <c r="E108" s="1" t="n">
        <v>-0.0208</v>
      </c>
      <c r="F108" s="1" t="n">
        <v>0.026771</v>
      </c>
      <c r="G108" s="1" t="n">
        <v>0.028729</v>
      </c>
      <c r="I108" s="1" t="n">
        <f aca="false">F108-$B108</f>
        <v>0.019771</v>
      </c>
      <c r="J108" s="1" t="n">
        <f aca="false">G108-$B108</f>
        <v>0.021729</v>
      </c>
    </row>
    <row r="109" customFormat="false" ht="15" hidden="false" customHeight="false" outlineLevel="0" collapsed="false">
      <c r="A109" s="7" t="n">
        <v>28825</v>
      </c>
      <c r="B109" s="1" t="n">
        <v>0.0078</v>
      </c>
      <c r="C109" s="1" t="n">
        <v>0.0087</v>
      </c>
      <c r="D109" s="1" t="n">
        <v>0.0119</v>
      </c>
      <c r="E109" s="1" t="n">
        <v>-0.0214</v>
      </c>
      <c r="F109" s="1" t="n">
        <v>0.016627</v>
      </c>
      <c r="G109" s="1" t="n">
        <v>0.009073</v>
      </c>
      <c r="I109" s="1" t="n">
        <f aca="false">F109-$B109</f>
        <v>0.008827</v>
      </c>
      <c r="J109" s="1" t="n">
        <f aca="false">G109-$B109</f>
        <v>0.001273</v>
      </c>
    </row>
    <row r="110" customFormat="false" ht="15" hidden="false" customHeight="false" outlineLevel="0" collapsed="false">
      <c r="A110" s="7" t="n">
        <v>28856</v>
      </c>
      <c r="B110" s="1" t="n">
        <v>0.0077</v>
      </c>
      <c r="C110" s="1" t="n">
        <v>0.0422</v>
      </c>
      <c r="D110" s="1" t="n">
        <v>0.0355</v>
      </c>
      <c r="E110" s="1" t="n">
        <v>0.0219</v>
      </c>
      <c r="F110" s="1" t="n">
        <v>0.042697</v>
      </c>
      <c r="G110" s="1" t="n">
        <v>0.068738</v>
      </c>
      <c r="I110" s="1" t="n">
        <f aca="false">F110-$B110</f>
        <v>0.034997</v>
      </c>
      <c r="J110" s="1" t="n">
        <f aca="false">G110-$B110</f>
        <v>0.061038</v>
      </c>
    </row>
    <row r="111" customFormat="false" ht="15" hidden="false" customHeight="false" outlineLevel="0" collapsed="false">
      <c r="A111" s="7" t="n">
        <v>28887</v>
      </c>
      <c r="B111" s="1" t="n">
        <v>0.0073</v>
      </c>
      <c r="C111" s="1" t="n">
        <v>-0.0356</v>
      </c>
      <c r="D111" s="1" t="n">
        <v>0.0044</v>
      </c>
      <c r="E111" s="1" t="n">
        <v>0.0117</v>
      </c>
      <c r="F111" s="1" t="n">
        <v>-0.028649</v>
      </c>
      <c r="G111" s="1" t="n">
        <v>-0.030595</v>
      </c>
      <c r="I111" s="1" t="n">
        <f aca="false">F111-$B111</f>
        <v>-0.035949</v>
      </c>
      <c r="J111" s="1" t="n">
        <f aca="false">G111-$B111</f>
        <v>-0.037895</v>
      </c>
    </row>
    <row r="112" customFormat="false" ht="15" hidden="false" customHeight="false" outlineLevel="0" collapsed="false">
      <c r="A112" s="7" t="n">
        <v>28915</v>
      </c>
      <c r="B112" s="1" t="n">
        <v>0.0081</v>
      </c>
      <c r="C112" s="1" t="n">
        <v>0.0567</v>
      </c>
      <c r="D112" s="1" t="n">
        <v>0.032</v>
      </c>
      <c r="E112" s="1" t="n">
        <v>-0.0068</v>
      </c>
      <c r="F112" s="1" t="n">
        <v>0.057361</v>
      </c>
      <c r="G112" s="1" t="n">
        <v>0.072952</v>
      </c>
      <c r="I112" s="1" t="n">
        <f aca="false">F112-$B112</f>
        <v>0.049261</v>
      </c>
      <c r="J112" s="1" t="n">
        <f aca="false">G112-$B112</f>
        <v>0.064852</v>
      </c>
    </row>
    <row r="113" customFormat="false" ht="15" hidden="false" customHeight="false" outlineLevel="0" collapsed="false">
      <c r="A113" s="7" t="n">
        <v>28946</v>
      </c>
      <c r="B113" s="1" t="n">
        <v>0.008</v>
      </c>
      <c r="C113" s="1" t="n">
        <v>-0.0007</v>
      </c>
      <c r="D113" s="1" t="n">
        <v>0.0217</v>
      </c>
      <c r="E113" s="1" t="n">
        <v>0.0112</v>
      </c>
      <c r="F113" s="1" t="n">
        <v>0.004183</v>
      </c>
      <c r="G113" s="1" t="n">
        <v>0.010733</v>
      </c>
      <c r="I113" s="1" t="n">
        <f aca="false">F113-$B113</f>
        <v>-0.003817</v>
      </c>
      <c r="J113" s="1" t="n">
        <f aca="false">G113-$B113</f>
        <v>0.002733</v>
      </c>
    </row>
    <row r="114" customFormat="false" ht="15" hidden="false" customHeight="false" outlineLevel="0" collapsed="false">
      <c r="A114" s="7" t="n">
        <v>28976</v>
      </c>
      <c r="B114" s="1" t="n">
        <v>0.0082</v>
      </c>
      <c r="C114" s="1" t="n">
        <v>-0.022</v>
      </c>
      <c r="D114" s="1" t="n">
        <v>0.0021</v>
      </c>
      <c r="E114" s="1" t="n">
        <v>0.0132</v>
      </c>
      <c r="F114" s="1" t="n">
        <v>-0.016818</v>
      </c>
      <c r="G114" s="1" t="n">
        <v>-0.012932</v>
      </c>
      <c r="I114" s="1" t="n">
        <f aca="false">F114-$B114</f>
        <v>-0.025018</v>
      </c>
      <c r="J114" s="1" t="n">
        <f aca="false">G114-$B114</f>
        <v>-0.021132</v>
      </c>
    </row>
    <row r="115" customFormat="false" ht="15" hidden="false" customHeight="false" outlineLevel="0" collapsed="false">
      <c r="A115" s="7" t="n">
        <v>29007</v>
      </c>
      <c r="B115" s="1" t="n">
        <v>0.0081</v>
      </c>
      <c r="C115" s="1" t="n">
        <v>0.0384</v>
      </c>
      <c r="D115" s="1" t="n">
        <v>0.0113</v>
      </c>
      <c r="E115" s="1" t="n">
        <v>0.0142</v>
      </c>
      <c r="F115" s="1" t="n">
        <v>0.040324</v>
      </c>
      <c r="G115" s="1" t="n">
        <v>0.051772</v>
      </c>
      <c r="I115" s="1" t="n">
        <f aca="false">F115-$B115</f>
        <v>0.032224</v>
      </c>
      <c r="J115" s="1" t="n">
        <f aca="false">G115-$B115</f>
        <v>0.043672</v>
      </c>
    </row>
    <row r="116" customFormat="false" ht="15" hidden="false" customHeight="false" outlineLevel="0" collapsed="false">
      <c r="A116" s="7" t="n">
        <v>29037</v>
      </c>
      <c r="B116" s="1" t="n">
        <v>0.0077</v>
      </c>
      <c r="C116" s="1" t="n">
        <v>0.0083</v>
      </c>
      <c r="D116" s="1" t="n">
        <v>0.0128</v>
      </c>
      <c r="E116" s="1" t="n">
        <v>0.0179</v>
      </c>
      <c r="F116" s="1" t="n">
        <v>0.012051</v>
      </c>
      <c r="G116" s="1" t="n">
        <v>0.027324</v>
      </c>
      <c r="I116" s="1" t="n">
        <f aca="false">F116-$B116</f>
        <v>0.004351</v>
      </c>
      <c r="J116" s="1" t="n">
        <f aca="false">G116-$B116</f>
        <v>0.019624</v>
      </c>
    </row>
    <row r="117" customFormat="false" ht="15" hidden="false" customHeight="false" outlineLevel="0" collapsed="false">
      <c r="A117" s="7" t="n">
        <v>29068</v>
      </c>
      <c r="B117" s="1" t="n">
        <v>0.0077</v>
      </c>
      <c r="C117" s="1" t="n">
        <v>0.0554</v>
      </c>
      <c r="D117" s="1" t="n">
        <v>0.0198</v>
      </c>
      <c r="E117" s="1" t="n">
        <v>-0.0158</v>
      </c>
      <c r="F117" s="1" t="n">
        <v>0.061865</v>
      </c>
      <c r="G117" s="1" t="n">
        <v>0.071897</v>
      </c>
      <c r="I117" s="1" t="n">
        <f aca="false">F117-$B117</f>
        <v>0.054165</v>
      </c>
      <c r="J117" s="1" t="n">
        <f aca="false">G117-$B117</f>
        <v>0.064197</v>
      </c>
    </row>
    <row r="118" customFormat="false" ht="15" hidden="false" customHeight="false" outlineLevel="0" collapsed="false">
      <c r="A118" s="7" t="n">
        <v>29099</v>
      </c>
      <c r="B118" s="1" t="n">
        <v>0.0083</v>
      </c>
      <c r="C118" s="1" t="n">
        <v>-0.0083</v>
      </c>
      <c r="D118" s="1" t="n">
        <v>-0.0026</v>
      </c>
      <c r="E118" s="1" t="n">
        <v>-0.0094</v>
      </c>
      <c r="F118" s="1" t="n">
        <v>0.001416</v>
      </c>
      <c r="G118" s="1" t="n">
        <v>-0.000964</v>
      </c>
      <c r="I118" s="1" t="n">
        <f aca="false">F118-$B118</f>
        <v>-0.006884</v>
      </c>
      <c r="J118" s="1" t="n">
        <f aca="false">G118-$B118</f>
        <v>-0.009264</v>
      </c>
    </row>
    <row r="119" customFormat="false" ht="15" hidden="false" customHeight="false" outlineLevel="0" collapsed="false">
      <c r="A119" s="7" t="n">
        <v>29129</v>
      </c>
      <c r="B119" s="1" t="n">
        <v>0.0087</v>
      </c>
      <c r="C119" s="1" t="n">
        <v>-0.081</v>
      </c>
      <c r="D119" s="1" t="n">
        <v>-0.0338</v>
      </c>
      <c r="E119" s="1" t="n">
        <v>-0.0183</v>
      </c>
      <c r="F119" s="1" t="n">
        <v>-0.06556</v>
      </c>
      <c r="G119" s="1" t="n">
        <v>-0.091444</v>
      </c>
      <c r="I119" s="1" t="n">
        <f aca="false">F119-$B119</f>
        <v>-0.07426</v>
      </c>
      <c r="J119" s="1" t="n">
        <f aca="false">G119-$B119</f>
        <v>-0.100144</v>
      </c>
    </row>
    <row r="120" customFormat="false" ht="15" hidden="false" customHeight="false" outlineLevel="0" collapsed="false">
      <c r="A120" s="7" t="n">
        <v>29160</v>
      </c>
      <c r="B120" s="1" t="n">
        <v>0.0099</v>
      </c>
      <c r="C120" s="1" t="n">
        <v>0.0522</v>
      </c>
      <c r="D120" s="1" t="n">
        <v>0.0281</v>
      </c>
      <c r="E120" s="1" t="n">
        <v>-0.0321</v>
      </c>
      <c r="F120" s="1" t="n">
        <v>0.052777</v>
      </c>
      <c r="G120" s="1" t="n">
        <v>0.065807</v>
      </c>
      <c r="I120" s="1" t="n">
        <f aca="false">F120-$B120</f>
        <v>0.042877</v>
      </c>
      <c r="J120" s="1" t="n">
        <f aca="false">G120-$B120</f>
        <v>0.055907</v>
      </c>
    </row>
    <row r="121" customFormat="false" ht="15" hidden="false" customHeight="false" outlineLevel="0" collapsed="false">
      <c r="A121" s="7" t="n">
        <v>29190</v>
      </c>
      <c r="B121" s="1" t="n">
        <v>0.0095</v>
      </c>
      <c r="C121" s="1" t="n">
        <v>0.0178</v>
      </c>
      <c r="D121" s="1" t="n">
        <v>0.0413</v>
      </c>
      <c r="E121" s="1" t="n">
        <v>-0.0213</v>
      </c>
      <c r="F121" s="1" t="n">
        <v>0.018341</v>
      </c>
      <c r="G121" s="1" t="n">
        <v>0.040352</v>
      </c>
      <c r="I121" s="1" t="n">
        <f aca="false">F121-$B121</f>
        <v>0.008841</v>
      </c>
      <c r="J121" s="1" t="n">
        <f aca="false">G121-$B121</f>
        <v>0.030852</v>
      </c>
    </row>
    <row r="122" customFormat="false" ht="15" hidden="false" customHeight="false" outlineLevel="0" collapsed="false">
      <c r="A122" s="7" t="n">
        <v>29221</v>
      </c>
      <c r="B122" s="1" t="n">
        <v>0.008</v>
      </c>
      <c r="C122" s="1" t="n">
        <v>0.055</v>
      </c>
      <c r="D122" s="1" t="n">
        <v>0.0162</v>
      </c>
      <c r="E122" s="1" t="n">
        <v>0.0185</v>
      </c>
      <c r="F122" s="1" t="n">
        <v>0.061308</v>
      </c>
      <c r="G122" s="1" t="n">
        <v>0.058776</v>
      </c>
      <c r="I122" s="1" t="n">
        <f aca="false">F122-$B122</f>
        <v>0.053308</v>
      </c>
      <c r="J122" s="1" t="n">
        <f aca="false">G122-$B122</f>
        <v>0.050776</v>
      </c>
    </row>
    <row r="123" customFormat="false" ht="15" hidden="false" customHeight="false" outlineLevel="0" collapsed="false">
      <c r="A123" s="7" t="n">
        <v>29252</v>
      </c>
      <c r="B123" s="1" t="n">
        <v>0.0089</v>
      </c>
      <c r="C123" s="1" t="n">
        <v>-0.0123</v>
      </c>
      <c r="D123" s="1" t="n">
        <v>-0.0186</v>
      </c>
      <c r="E123" s="1" t="n">
        <v>0.0059</v>
      </c>
      <c r="F123" s="1" t="n">
        <v>0.002611</v>
      </c>
      <c r="G123" s="1" t="n">
        <v>-0.031633</v>
      </c>
      <c r="I123" s="1" t="n">
        <f aca="false">F123-$B123</f>
        <v>-0.006289</v>
      </c>
      <c r="J123" s="1" t="n">
        <f aca="false">G123-$B123</f>
        <v>-0.040533</v>
      </c>
    </row>
    <row r="124" customFormat="false" ht="15" hidden="false" customHeight="false" outlineLevel="0" collapsed="false">
      <c r="A124" s="7" t="n">
        <v>29281</v>
      </c>
      <c r="B124" s="1" t="n">
        <v>0.0121</v>
      </c>
      <c r="C124" s="1" t="n">
        <v>-0.129</v>
      </c>
      <c r="D124" s="1" t="n">
        <v>-0.067</v>
      </c>
      <c r="E124" s="1" t="n">
        <v>-0.0096</v>
      </c>
      <c r="F124" s="1" t="n">
        <v>-0.097518</v>
      </c>
      <c r="G124" s="1" t="n">
        <v>-0.105716</v>
      </c>
      <c r="I124" s="1" t="n">
        <f aca="false">F124-$B124</f>
        <v>-0.109618</v>
      </c>
      <c r="J124" s="1" t="n">
        <f aca="false">G124-$B124</f>
        <v>-0.117816</v>
      </c>
    </row>
    <row r="125" customFormat="false" ht="15" hidden="false" customHeight="false" outlineLevel="0" collapsed="false">
      <c r="A125" s="7" t="n">
        <v>29312</v>
      </c>
      <c r="B125" s="1" t="n">
        <v>0.0126</v>
      </c>
      <c r="C125" s="1" t="n">
        <v>0.0395</v>
      </c>
      <c r="D125" s="1" t="n">
        <v>0.0105</v>
      </c>
      <c r="E125" s="1" t="n">
        <v>0.0103</v>
      </c>
      <c r="F125" s="1" t="n">
        <v>0.042394</v>
      </c>
      <c r="G125" s="1" t="n">
        <v>0.045939</v>
      </c>
      <c r="I125" s="1" t="n">
        <f aca="false">F125-$B125</f>
        <v>0.029794</v>
      </c>
      <c r="J125" s="1" t="n">
        <f aca="false">G125-$B125</f>
        <v>0.033339</v>
      </c>
    </row>
    <row r="126" customFormat="false" ht="15" hidden="false" customHeight="false" outlineLevel="0" collapsed="false">
      <c r="A126" s="7" t="n">
        <v>29342</v>
      </c>
      <c r="B126" s="1" t="n">
        <v>0.0081</v>
      </c>
      <c r="C126" s="1" t="n">
        <v>0.0526</v>
      </c>
      <c r="D126" s="1" t="n">
        <v>0.0205</v>
      </c>
      <c r="E126" s="1" t="n">
        <v>0.0038</v>
      </c>
      <c r="F126" s="1" t="n">
        <v>0.05556</v>
      </c>
      <c r="G126" s="1" t="n">
        <v>0.081396</v>
      </c>
      <c r="I126" s="1" t="n">
        <f aca="false">F126-$B126</f>
        <v>0.04746</v>
      </c>
      <c r="J126" s="1" t="n">
        <f aca="false">G126-$B126</f>
        <v>0.073296</v>
      </c>
    </row>
    <row r="127" customFormat="false" ht="15" hidden="false" customHeight="false" outlineLevel="0" collapsed="false">
      <c r="A127" s="7" t="n">
        <v>29373</v>
      </c>
      <c r="B127" s="1" t="n">
        <v>0.0061</v>
      </c>
      <c r="C127" s="1" t="n">
        <v>0.0298</v>
      </c>
      <c r="D127" s="1" t="n">
        <v>0.0166</v>
      </c>
      <c r="E127" s="1" t="n">
        <v>-0.008</v>
      </c>
      <c r="F127" s="1" t="n">
        <v>0.029722</v>
      </c>
      <c r="G127" s="1" t="n">
        <v>0.03273</v>
      </c>
      <c r="I127" s="1" t="n">
        <f aca="false">F127-$B127</f>
        <v>0.023622</v>
      </c>
      <c r="J127" s="1" t="n">
        <f aca="false">G127-$B127</f>
        <v>0.02663</v>
      </c>
    </row>
    <row r="128" customFormat="false" ht="15" hidden="false" customHeight="false" outlineLevel="0" collapsed="false">
      <c r="A128" s="7" t="n">
        <v>29403</v>
      </c>
      <c r="B128" s="1" t="n">
        <v>0.0053</v>
      </c>
      <c r="C128" s="1" t="n">
        <v>0.0651</v>
      </c>
      <c r="D128" s="1" t="n">
        <v>0.041</v>
      </c>
      <c r="E128" s="1" t="n">
        <v>-0.0629</v>
      </c>
      <c r="F128" s="1" t="n">
        <v>0.0682</v>
      </c>
      <c r="G128" s="1" t="n">
        <v>0.091636</v>
      </c>
      <c r="I128" s="1" t="n">
        <f aca="false">F128-$B128</f>
        <v>0.0629</v>
      </c>
      <c r="J128" s="1" t="n">
        <f aca="false">G128-$B128</f>
        <v>0.086336</v>
      </c>
    </row>
    <row r="129" customFormat="false" ht="15" hidden="false" customHeight="false" outlineLevel="0" collapsed="false">
      <c r="A129" s="7" t="n">
        <v>29434</v>
      </c>
      <c r="B129" s="1" t="n">
        <v>0.0064</v>
      </c>
      <c r="C129" s="1" t="n">
        <v>0.0175</v>
      </c>
      <c r="D129" s="1" t="n">
        <v>0.039</v>
      </c>
      <c r="E129" s="1" t="n">
        <v>-0.0246</v>
      </c>
      <c r="F129" s="1" t="n">
        <v>0.013454</v>
      </c>
      <c r="G129" s="1" t="n">
        <v>0.026901</v>
      </c>
      <c r="I129" s="1" t="n">
        <f aca="false">F129-$B129</f>
        <v>0.007054</v>
      </c>
      <c r="J129" s="1" t="n">
        <f aca="false">G129-$B129</f>
        <v>0.020501</v>
      </c>
    </row>
    <row r="130" customFormat="false" ht="15" hidden="false" customHeight="false" outlineLevel="0" collapsed="false">
      <c r="A130" s="7" t="n">
        <v>29465</v>
      </c>
      <c r="B130" s="1" t="n">
        <v>0.0075</v>
      </c>
      <c r="C130" s="1" t="n">
        <v>0.0219</v>
      </c>
      <c r="D130" s="1" t="n">
        <v>0.0096</v>
      </c>
      <c r="E130" s="1" t="n">
        <v>-0.0461</v>
      </c>
      <c r="F130" s="1" t="n">
        <v>0.027935</v>
      </c>
      <c r="G130" s="1" t="n">
        <v>0.0286</v>
      </c>
      <c r="I130" s="1" t="n">
        <f aca="false">F130-$B130</f>
        <v>0.020435</v>
      </c>
      <c r="J130" s="1" t="n">
        <f aca="false">G130-$B130</f>
        <v>0.0211</v>
      </c>
    </row>
    <row r="131" customFormat="false" ht="15" hidden="false" customHeight="false" outlineLevel="0" collapsed="false">
      <c r="A131" s="7" t="n">
        <v>29495</v>
      </c>
      <c r="B131" s="1" t="n">
        <v>0.0095</v>
      </c>
      <c r="C131" s="1" t="n">
        <v>0.0104</v>
      </c>
      <c r="D131" s="1" t="n">
        <v>0.0239</v>
      </c>
      <c r="E131" s="1" t="n">
        <v>-0.0293</v>
      </c>
      <c r="F131" s="1" t="n">
        <v>0.017809</v>
      </c>
      <c r="G131" s="1" t="n">
        <v>0.00899</v>
      </c>
      <c r="I131" s="1" t="n">
        <f aca="false">F131-$B131</f>
        <v>0.008309</v>
      </c>
      <c r="J131" s="1" t="n">
        <f aca="false">G131-$B131</f>
        <v>-0.00051</v>
      </c>
    </row>
    <row r="132" customFormat="false" ht="15" hidden="false" customHeight="false" outlineLevel="0" collapsed="false">
      <c r="A132" s="7" t="n">
        <v>29526</v>
      </c>
      <c r="B132" s="1" t="n">
        <v>0.0096</v>
      </c>
      <c r="C132" s="1" t="n">
        <v>0.096</v>
      </c>
      <c r="D132" s="1" t="n">
        <v>-0.0327</v>
      </c>
      <c r="E132" s="1" t="n">
        <v>-0.0811</v>
      </c>
      <c r="F132" s="1" t="n">
        <v>0.10991</v>
      </c>
      <c r="G132" s="1" t="n">
        <v>0.064686</v>
      </c>
      <c r="I132" s="1" t="n">
        <f aca="false">F132-$B132</f>
        <v>0.10031</v>
      </c>
      <c r="J132" s="1" t="n">
        <f aca="false">G132-$B132</f>
        <v>0.055086</v>
      </c>
    </row>
    <row r="133" customFormat="false" ht="15" hidden="false" customHeight="false" outlineLevel="0" collapsed="false">
      <c r="A133" s="7" t="n">
        <v>29556</v>
      </c>
      <c r="B133" s="1" t="n">
        <v>0.0131</v>
      </c>
      <c r="C133" s="1" t="n">
        <v>-0.0446</v>
      </c>
      <c r="D133" s="1" t="n">
        <v>-0.0028</v>
      </c>
      <c r="E133" s="1" t="n">
        <v>0.028</v>
      </c>
      <c r="F133" s="1" t="n">
        <v>-0.030634</v>
      </c>
      <c r="G133" s="1" t="n">
        <v>-0.011078</v>
      </c>
      <c r="I133" s="1" t="n">
        <f aca="false">F133-$B133</f>
        <v>-0.043734</v>
      </c>
      <c r="J133" s="1" t="n">
        <f aca="false">G133-$B133</f>
        <v>-0.024178</v>
      </c>
    </row>
    <row r="134" customFormat="false" ht="15" hidden="false" customHeight="false" outlineLevel="0" collapsed="false">
      <c r="A134" s="7" t="n">
        <v>29587</v>
      </c>
      <c r="B134" s="1" t="n">
        <v>0.0104</v>
      </c>
      <c r="C134" s="1" t="n">
        <v>-0.0506</v>
      </c>
      <c r="D134" s="1" t="n">
        <v>0.0291</v>
      </c>
      <c r="E134" s="1" t="n">
        <v>0.0674</v>
      </c>
      <c r="F134" s="1" t="n">
        <v>-0.04337</v>
      </c>
      <c r="G134" s="1" t="n">
        <v>-0.011364</v>
      </c>
      <c r="I134" s="1" t="n">
        <f aca="false">F134-$B134</f>
        <v>-0.05377</v>
      </c>
      <c r="J134" s="1" t="n">
        <f aca="false">G134-$B134</f>
        <v>-0.021764</v>
      </c>
    </row>
    <row r="135" customFormat="false" ht="15" hidden="false" customHeight="false" outlineLevel="0" collapsed="false">
      <c r="A135" s="7" t="n">
        <v>29618</v>
      </c>
      <c r="B135" s="1" t="n">
        <v>0.0107</v>
      </c>
      <c r="C135" s="1" t="n">
        <v>0.0061</v>
      </c>
      <c r="D135" s="1" t="n">
        <v>-0.0047</v>
      </c>
      <c r="E135" s="1" t="n">
        <v>0.0097</v>
      </c>
      <c r="F135" s="1" t="n">
        <v>0.021267</v>
      </c>
      <c r="G135" s="1" t="n">
        <v>0.028192</v>
      </c>
      <c r="I135" s="1" t="n">
        <f aca="false">F135-$B135</f>
        <v>0.010567</v>
      </c>
      <c r="J135" s="1" t="n">
        <f aca="false">G135-$B135</f>
        <v>0.017492</v>
      </c>
    </row>
    <row r="136" customFormat="false" ht="15" hidden="false" customHeight="false" outlineLevel="0" collapsed="false">
      <c r="A136" s="7" t="n">
        <v>29646</v>
      </c>
      <c r="B136" s="1" t="n">
        <v>0.0121</v>
      </c>
      <c r="C136" s="1" t="n">
        <v>0.0367</v>
      </c>
      <c r="D136" s="1" t="n">
        <v>0.0334</v>
      </c>
      <c r="E136" s="1" t="n">
        <v>0.0061</v>
      </c>
      <c r="F136" s="1" t="n">
        <v>0.038285</v>
      </c>
      <c r="G136" s="1" t="n">
        <v>0.082034</v>
      </c>
      <c r="I136" s="1" t="n">
        <f aca="false">F136-$B136</f>
        <v>0.026185</v>
      </c>
      <c r="J136" s="1" t="n">
        <f aca="false">G136-$B136</f>
        <v>0.069934</v>
      </c>
    </row>
    <row r="137" customFormat="false" ht="15" hidden="false" customHeight="false" outlineLevel="0" collapsed="false">
      <c r="A137" s="7" t="n">
        <v>29677</v>
      </c>
      <c r="B137" s="1" t="n">
        <v>0.0108</v>
      </c>
      <c r="C137" s="1" t="n">
        <v>-0.0216</v>
      </c>
      <c r="D137" s="1" t="n">
        <v>0.045</v>
      </c>
      <c r="E137" s="1" t="n">
        <v>0.0228</v>
      </c>
      <c r="F137" s="1" t="n">
        <v>-0.020211</v>
      </c>
      <c r="G137" s="1" t="n">
        <v>0.000661</v>
      </c>
      <c r="I137" s="1" t="n">
        <f aca="false">F137-$B137</f>
        <v>-0.031011</v>
      </c>
      <c r="J137" s="1" t="n">
        <f aca="false">G137-$B137</f>
        <v>-0.010139</v>
      </c>
    </row>
    <row r="138" customFormat="false" ht="15" hidden="false" customHeight="false" outlineLevel="0" collapsed="false">
      <c r="A138" s="7" t="n">
        <v>29707</v>
      </c>
      <c r="B138" s="1" t="n">
        <v>0.0115</v>
      </c>
      <c r="C138" s="1" t="n">
        <v>0.0013</v>
      </c>
      <c r="D138" s="1" t="n">
        <v>0.0194</v>
      </c>
      <c r="E138" s="1" t="n">
        <v>-0.0043</v>
      </c>
      <c r="F138" s="1" t="n">
        <v>0.006539</v>
      </c>
      <c r="G138" s="1" t="n">
        <v>0.017051</v>
      </c>
      <c r="I138" s="1" t="n">
        <f aca="false">F138-$B138</f>
        <v>-0.004961</v>
      </c>
      <c r="J138" s="1" t="n">
        <f aca="false">G138-$B138</f>
        <v>0.005551</v>
      </c>
    </row>
    <row r="139" customFormat="false" ht="15" hidden="false" customHeight="false" outlineLevel="0" collapsed="false">
      <c r="A139" s="7" t="n">
        <v>29738</v>
      </c>
      <c r="B139" s="1" t="n">
        <v>0.0135</v>
      </c>
      <c r="C139" s="1" t="n">
        <v>-0.0234</v>
      </c>
      <c r="D139" s="1" t="n">
        <v>-0.0083</v>
      </c>
      <c r="E139" s="1" t="n">
        <v>0.0514</v>
      </c>
      <c r="F139" s="1" t="n">
        <v>-0.008255</v>
      </c>
      <c r="G139" s="1" t="n">
        <v>-0.008757</v>
      </c>
      <c r="I139" s="1" t="n">
        <f aca="false">F139-$B139</f>
        <v>-0.021755</v>
      </c>
      <c r="J139" s="1" t="n">
        <f aca="false">G139-$B139</f>
        <v>-0.022257</v>
      </c>
    </row>
    <row r="140" customFormat="false" ht="15" hidden="false" customHeight="false" outlineLevel="0" collapsed="false">
      <c r="A140" s="7" t="n">
        <v>29768</v>
      </c>
      <c r="B140" s="1" t="n">
        <v>0.0124</v>
      </c>
      <c r="C140" s="1" t="n">
        <v>-0.0155</v>
      </c>
      <c r="D140" s="1" t="n">
        <v>-0.0207</v>
      </c>
      <c r="E140" s="1" t="n">
        <v>-0.0061</v>
      </c>
      <c r="F140" s="1" t="n">
        <v>0.000714</v>
      </c>
      <c r="G140" s="1" t="n">
        <v>-0.017618</v>
      </c>
      <c r="I140" s="1" t="n">
        <f aca="false">F140-$B140</f>
        <v>-0.011686</v>
      </c>
      <c r="J140" s="1" t="n">
        <f aca="false">G140-$B140</f>
        <v>-0.030018</v>
      </c>
    </row>
    <row r="141" customFormat="false" ht="15" hidden="false" customHeight="false" outlineLevel="0" collapsed="false">
      <c r="A141" s="7" t="n">
        <v>29799</v>
      </c>
      <c r="B141" s="1" t="n">
        <v>0.0128</v>
      </c>
      <c r="C141" s="1" t="n">
        <v>-0.0702</v>
      </c>
      <c r="D141" s="1" t="n">
        <v>-0.0195</v>
      </c>
      <c r="E141" s="1" t="n">
        <v>0.0471</v>
      </c>
      <c r="F141" s="1" t="n">
        <v>-0.05554</v>
      </c>
      <c r="G141" s="1" t="n">
        <v>-0.062569</v>
      </c>
      <c r="I141" s="1" t="n">
        <f aca="false">F141-$B141</f>
        <v>-0.06834</v>
      </c>
      <c r="J141" s="1" t="n">
        <f aca="false">G141-$B141</f>
        <v>-0.075369</v>
      </c>
    </row>
    <row r="142" customFormat="false" ht="15" hidden="false" customHeight="false" outlineLevel="0" collapsed="false">
      <c r="A142" s="7" t="n">
        <v>29830</v>
      </c>
      <c r="B142" s="1" t="n">
        <v>0.0124</v>
      </c>
      <c r="C142" s="1" t="n">
        <v>-0.0719</v>
      </c>
      <c r="D142" s="1" t="n">
        <v>-0.0268</v>
      </c>
      <c r="E142" s="1" t="n">
        <v>0.0511</v>
      </c>
      <c r="F142" s="1" t="n">
        <v>-0.050466</v>
      </c>
      <c r="G142" s="1" t="n">
        <v>-0.05138</v>
      </c>
      <c r="I142" s="1" t="n">
        <f aca="false">F142-$B142</f>
        <v>-0.062866</v>
      </c>
      <c r="J142" s="1" t="n">
        <f aca="false">G142-$B142</f>
        <v>-0.06378</v>
      </c>
    </row>
    <row r="143" customFormat="false" ht="15" hidden="false" customHeight="false" outlineLevel="0" collapsed="false">
      <c r="A143" s="7" t="n">
        <v>29860</v>
      </c>
      <c r="B143" s="1" t="n">
        <v>0.0121</v>
      </c>
      <c r="C143" s="1" t="n">
        <v>0.0492</v>
      </c>
      <c r="D143" s="1" t="n">
        <v>0.0213</v>
      </c>
      <c r="E143" s="1" t="n">
        <v>-0.0409</v>
      </c>
      <c r="F143" s="1" t="n">
        <v>0.052115</v>
      </c>
      <c r="G143" s="1" t="n">
        <v>0.058788</v>
      </c>
      <c r="I143" s="1" t="n">
        <f aca="false">F143-$B143</f>
        <v>0.040015</v>
      </c>
      <c r="J143" s="1" t="n">
        <f aca="false">G143-$B143</f>
        <v>0.046688</v>
      </c>
    </row>
    <row r="144" customFormat="false" ht="15" hidden="false" customHeight="false" outlineLevel="0" collapsed="false">
      <c r="A144" s="7" t="n">
        <v>29891</v>
      </c>
      <c r="B144" s="1" t="n">
        <v>0.0107</v>
      </c>
      <c r="C144" s="1" t="n">
        <v>0.034</v>
      </c>
      <c r="D144" s="1" t="n">
        <v>-0.0109</v>
      </c>
      <c r="E144" s="1" t="n">
        <v>0.0191</v>
      </c>
      <c r="F144" s="1" t="n">
        <v>0.043827</v>
      </c>
      <c r="G144" s="1" t="n">
        <v>0.042338</v>
      </c>
      <c r="I144" s="1" t="n">
        <f aca="false">F144-$B144</f>
        <v>0.033127</v>
      </c>
      <c r="J144" s="1" t="n">
        <f aca="false">G144-$B144</f>
        <v>0.031638</v>
      </c>
    </row>
    <row r="145" customFormat="false" ht="15" hidden="false" customHeight="false" outlineLevel="0" collapsed="false">
      <c r="A145" s="7" t="n">
        <v>29921</v>
      </c>
      <c r="B145" s="1" t="n">
        <v>0.0087</v>
      </c>
      <c r="C145" s="1" t="n">
        <v>-0.0363</v>
      </c>
      <c r="D145" s="1" t="n">
        <v>0.0118</v>
      </c>
      <c r="E145" s="1" t="n">
        <v>0.0079</v>
      </c>
      <c r="F145" s="1" t="n">
        <v>-0.027059</v>
      </c>
      <c r="G145" s="1" t="n">
        <v>-0.019789</v>
      </c>
      <c r="I145" s="1" t="n">
        <f aca="false">F145-$B145</f>
        <v>-0.035759</v>
      </c>
      <c r="J145" s="1" t="n">
        <f aca="false">G145-$B145</f>
        <v>-0.028489</v>
      </c>
    </row>
    <row r="146" customFormat="false" ht="15" hidden="false" customHeight="false" outlineLevel="0" collapsed="false">
      <c r="A146" s="7" t="n">
        <v>29952</v>
      </c>
      <c r="B146" s="1" t="n">
        <v>0.008</v>
      </c>
      <c r="C146" s="1" t="n">
        <v>-0.0323</v>
      </c>
      <c r="D146" s="1" t="n">
        <v>-0.0125</v>
      </c>
      <c r="E146" s="1" t="n">
        <v>0.0319</v>
      </c>
      <c r="F146" s="1" t="n">
        <v>-0.015367</v>
      </c>
      <c r="G146" s="1" t="n">
        <v>-0.019549</v>
      </c>
      <c r="I146" s="1" t="n">
        <f aca="false">F146-$B146</f>
        <v>-0.023367</v>
      </c>
      <c r="J146" s="1" t="n">
        <f aca="false">G146-$B146</f>
        <v>-0.027549</v>
      </c>
    </row>
    <row r="147" customFormat="false" ht="15" hidden="false" customHeight="false" outlineLevel="0" collapsed="false">
      <c r="A147" s="7" t="n">
        <v>29983</v>
      </c>
      <c r="B147" s="1" t="n">
        <v>0.0092</v>
      </c>
      <c r="C147" s="1" t="n">
        <v>-0.0586</v>
      </c>
      <c r="D147" s="1" t="n">
        <v>0.0046</v>
      </c>
      <c r="E147" s="1" t="n">
        <v>0.0609</v>
      </c>
      <c r="F147" s="1" t="n">
        <v>-0.050441</v>
      </c>
      <c r="G147" s="1" t="n">
        <v>-0.036622</v>
      </c>
      <c r="I147" s="1" t="n">
        <f aca="false">F147-$B147</f>
        <v>-0.059641</v>
      </c>
      <c r="J147" s="1" t="n">
        <f aca="false">G147-$B147</f>
        <v>-0.045822</v>
      </c>
    </row>
    <row r="148" customFormat="false" ht="15" hidden="false" customHeight="false" outlineLevel="0" collapsed="false">
      <c r="A148" s="7" t="n">
        <v>30011</v>
      </c>
      <c r="B148" s="1" t="n">
        <v>0.0098</v>
      </c>
      <c r="C148" s="1" t="n">
        <v>-0.0182</v>
      </c>
      <c r="D148" s="1" t="n">
        <v>-0.0019</v>
      </c>
      <c r="E148" s="1" t="n">
        <v>0.0376</v>
      </c>
      <c r="F148" s="1" t="n">
        <v>-0.006805</v>
      </c>
      <c r="G148" s="1" t="n">
        <v>-0.003248</v>
      </c>
      <c r="I148" s="1" t="n">
        <f aca="false">F148-$B148</f>
        <v>-0.016605</v>
      </c>
      <c r="J148" s="1" t="n">
        <f aca="false">G148-$B148</f>
        <v>-0.013048</v>
      </c>
    </row>
    <row r="149" customFormat="false" ht="15" hidden="false" customHeight="false" outlineLevel="0" collapsed="false">
      <c r="A149" s="7" t="n">
        <v>30042</v>
      </c>
      <c r="B149" s="1" t="n">
        <v>0.0113</v>
      </c>
      <c r="C149" s="1" t="n">
        <v>0.0324</v>
      </c>
      <c r="D149" s="1" t="n">
        <v>0.0164</v>
      </c>
      <c r="E149" s="1" t="n">
        <v>-0.0308</v>
      </c>
      <c r="F149" s="1" t="n">
        <v>0.04155</v>
      </c>
      <c r="G149" s="1" t="n">
        <v>0.047615</v>
      </c>
      <c r="I149" s="1" t="n">
        <f aca="false">F149-$B149</f>
        <v>0.03025</v>
      </c>
      <c r="J149" s="1" t="n">
        <f aca="false">G149-$B149</f>
        <v>0.036315</v>
      </c>
    </row>
    <row r="150" customFormat="false" ht="15" hidden="false" customHeight="false" outlineLevel="0" collapsed="false">
      <c r="A150" s="7" t="n">
        <v>30072</v>
      </c>
      <c r="B150" s="1" t="n">
        <v>0.0106</v>
      </c>
      <c r="C150" s="1" t="n">
        <v>-0.0393</v>
      </c>
      <c r="D150" s="1" t="n">
        <v>0.0017</v>
      </c>
      <c r="E150" s="1" t="n">
        <v>0.0178</v>
      </c>
      <c r="F150" s="1" t="n">
        <v>-0.029505</v>
      </c>
      <c r="G150" s="1" t="n">
        <v>-0.043972</v>
      </c>
      <c r="I150" s="1" t="n">
        <f aca="false">F150-$B150</f>
        <v>-0.040105</v>
      </c>
      <c r="J150" s="1" t="n">
        <f aca="false">G150-$B150</f>
        <v>-0.054572</v>
      </c>
    </row>
    <row r="151" customFormat="false" ht="15" hidden="false" customHeight="false" outlineLevel="0" collapsed="false">
      <c r="A151" s="7" t="n">
        <v>30103</v>
      </c>
      <c r="B151" s="1" t="n">
        <v>0.0096</v>
      </c>
      <c r="C151" s="1" t="n">
        <v>-0.0308</v>
      </c>
      <c r="D151" s="1" t="n">
        <v>-0.0043</v>
      </c>
      <c r="E151" s="1" t="n">
        <v>0.0156</v>
      </c>
      <c r="F151" s="1" t="n">
        <v>-0.01578</v>
      </c>
      <c r="G151" s="1" t="n">
        <v>-0.007225</v>
      </c>
      <c r="I151" s="1" t="n">
        <f aca="false">F151-$B151</f>
        <v>-0.02538</v>
      </c>
      <c r="J151" s="1" t="n">
        <f aca="false">G151-$B151</f>
        <v>-0.016825</v>
      </c>
    </row>
    <row r="152" customFormat="false" ht="15" hidden="false" customHeight="false" outlineLevel="0" collapsed="false">
      <c r="A152" s="7" t="n">
        <v>30133</v>
      </c>
      <c r="B152" s="1" t="n">
        <v>0.0105</v>
      </c>
      <c r="C152" s="1" t="n">
        <v>-0.032</v>
      </c>
      <c r="D152" s="1" t="n">
        <v>0.0091</v>
      </c>
      <c r="E152" s="1" t="n">
        <v>0.0007</v>
      </c>
      <c r="F152" s="1" t="n">
        <v>-0.020199</v>
      </c>
      <c r="G152" s="1" t="n">
        <v>-0.015098</v>
      </c>
      <c r="I152" s="1" t="n">
        <f aca="false">F152-$B152</f>
        <v>-0.030699</v>
      </c>
      <c r="J152" s="1" t="n">
        <f aca="false">G152-$B152</f>
        <v>-0.025598</v>
      </c>
    </row>
    <row r="153" customFormat="false" ht="15" hidden="false" customHeight="false" outlineLevel="0" collapsed="false">
      <c r="A153" s="7" t="n">
        <v>30164</v>
      </c>
      <c r="B153" s="1" t="n">
        <v>0.0076</v>
      </c>
      <c r="C153" s="1" t="n">
        <v>0.1123</v>
      </c>
      <c r="D153" s="1" t="n">
        <v>-0.0428</v>
      </c>
      <c r="E153" s="1" t="n">
        <v>0.0109</v>
      </c>
      <c r="F153" s="1" t="n">
        <v>0.127402</v>
      </c>
      <c r="G153" s="1" t="n">
        <v>0.129328</v>
      </c>
      <c r="I153" s="1" t="n">
        <f aca="false">F153-$B153</f>
        <v>0.119802</v>
      </c>
      <c r="J153" s="1" t="n">
        <f aca="false">G153-$B153</f>
        <v>0.121728</v>
      </c>
    </row>
    <row r="154" customFormat="false" ht="15" hidden="false" customHeight="false" outlineLevel="0" collapsed="false">
      <c r="A154" s="7" t="n">
        <v>30195</v>
      </c>
      <c r="B154" s="1" t="n">
        <v>0.0051</v>
      </c>
      <c r="C154" s="1" t="n">
        <v>0.0131</v>
      </c>
      <c r="D154" s="1" t="n">
        <v>0.0287</v>
      </c>
      <c r="E154" s="1" t="n">
        <v>0.0023</v>
      </c>
      <c r="F154" s="1" t="n">
        <v>0.010496</v>
      </c>
      <c r="G154" s="1" t="n">
        <v>0.016275</v>
      </c>
      <c r="I154" s="1" t="n">
        <f aca="false">F154-$B154</f>
        <v>0.005396</v>
      </c>
      <c r="J154" s="1" t="n">
        <f aca="false">G154-$B154</f>
        <v>0.011175</v>
      </c>
    </row>
    <row r="155" customFormat="false" ht="15" hidden="false" customHeight="false" outlineLevel="0" collapsed="false">
      <c r="A155" s="7" t="n">
        <v>30225</v>
      </c>
      <c r="B155" s="1" t="n">
        <v>0.0059</v>
      </c>
      <c r="C155" s="1" t="n">
        <v>0.113</v>
      </c>
      <c r="D155" s="1" t="n">
        <v>0.0238</v>
      </c>
      <c r="E155" s="1" t="n">
        <v>-0.0362</v>
      </c>
      <c r="F155" s="1" t="n">
        <v>0.113863</v>
      </c>
      <c r="G155" s="1" t="n">
        <v>0.143918</v>
      </c>
      <c r="I155" s="1" t="n">
        <f aca="false">F155-$B155</f>
        <v>0.107963</v>
      </c>
      <c r="J155" s="1" t="n">
        <f aca="false">G155-$B155</f>
        <v>0.138018</v>
      </c>
    </row>
    <row r="156" customFormat="false" ht="15" hidden="false" customHeight="false" outlineLevel="0" collapsed="false">
      <c r="A156" s="7" t="n">
        <v>30256</v>
      </c>
      <c r="B156" s="1" t="n">
        <v>0.0063</v>
      </c>
      <c r="C156" s="1" t="n">
        <v>0.0468</v>
      </c>
      <c r="D156" s="1" t="n">
        <v>0.0463</v>
      </c>
      <c r="E156" s="1" t="n">
        <v>-0.018</v>
      </c>
      <c r="F156" s="1" t="n">
        <v>0.045754</v>
      </c>
      <c r="G156" s="1" t="n">
        <v>0.060061</v>
      </c>
      <c r="I156" s="1" t="n">
        <f aca="false">F156-$B156</f>
        <v>0.039454</v>
      </c>
      <c r="J156" s="1" t="n">
        <f aca="false">G156-$B156</f>
        <v>0.053761</v>
      </c>
    </row>
    <row r="157" customFormat="false" ht="15" hidden="false" customHeight="false" outlineLevel="0" collapsed="false">
      <c r="A157" s="7" t="n">
        <v>30286</v>
      </c>
      <c r="B157" s="1" t="n">
        <v>0.0067</v>
      </c>
      <c r="C157" s="1" t="n">
        <v>0.0056</v>
      </c>
      <c r="D157" s="1" t="n">
        <v>-0.0031</v>
      </c>
      <c r="E157" s="1" t="n">
        <v>-0.0006</v>
      </c>
      <c r="F157" s="1" t="n">
        <v>0.016835</v>
      </c>
      <c r="G157" s="1" t="n">
        <v>0.015472</v>
      </c>
      <c r="I157" s="1" t="n">
        <f aca="false">F157-$B157</f>
        <v>0.010135</v>
      </c>
      <c r="J157" s="1" t="n">
        <f aca="false">G157-$B157</f>
        <v>0.008772</v>
      </c>
    </row>
    <row r="158" customFormat="false" ht="15" hidden="false" customHeight="false" outlineLevel="0" collapsed="false">
      <c r="A158" s="7" t="n">
        <v>30317</v>
      </c>
      <c r="B158" s="1" t="n">
        <v>0.0069</v>
      </c>
      <c r="C158" s="1" t="n">
        <v>0.0359</v>
      </c>
      <c r="D158" s="1" t="n">
        <v>0.0282</v>
      </c>
      <c r="E158" s="1" t="n">
        <v>-0.0072</v>
      </c>
      <c r="F158" s="1" t="n">
        <v>0.035293</v>
      </c>
      <c r="G158" s="1" t="n">
        <v>0.035262</v>
      </c>
      <c r="I158" s="1" t="n">
        <f aca="false">F158-$B158</f>
        <v>0.028393</v>
      </c>
      <c r="J158" s="1" t="n">
        <f aca="false">G158-$B158</f>
        <v>0.028362</v>
      </c>
    </row>
    <row r="159" customFormat="false" ht="15" hidden="false" customHeight="false" outlineLevel="0" collapsed="false">
      <c r="A159" s="7" t="n">
        <v>30348</v>
      </c>
      <c r="B159" s="1" t="n">
        <v>0.0062</v>
      </c>
      <c r="C159" s="1" t="n">
        <v>0.0259</v>
      </c>
      <c r="D159" s="1" t="n">
        <v>0.0318</v>
      </c>
      <c r="E159" s="1" t="n">
        <v>0.0066</v>
      </c>
      <c r="F159" s="1" t="n">
        <v>0.025733</v>
      </c>
      <c r="G159" s="1" t="n">
        <v>0.040992</v>
      </c>
      <c r="I159" s="1" t="n">
        <f aca="false">F159-$B159</f>
        <v>0.019533</v>
      </c>
      <c r="J159" s="1" t="n">
        <f aca="false">G159-$B159</f>
        <v>0.034792</v>
      </c>
    </row>
    <row r="160" customFormat="false" ht="15" hidden="false" customHeight="false" outlineLevel="0" collapsed="false">
      <c r="A160" s="7" t="n">
        <v>30376</v>
      </c>
      <c r="B160" s="1" t="n">
        <v>0.0063</v>
      </c>
      <c r="C160" s="1" t="n">
        <v>0.0281</v>
      </c>
      <c r="D160" s="1" t="n">
        <v>0.0175</v>
      </c>
      <c r="E160" s="1" t="n">
        <v>0.0206</v>
      </c>
      <c r="F160" s="1" t="n">
        <v>0.03547</v>
      </c>
      <c r="G160" s="1" t="n">
        <v>0.051424</v>
      </c>
      <c r="I160" s="1" t="n">
        <f aca="false">F160-$B160</f>
        <v>0.02917</v>
      </c>
      <c r="J160" s="1" t="n">
        <f aca="false">G160-$B160</f>
        <v>0.045124</v>
      </c>
    </row>
    <row r="161" customFormat="false" ht="15" hidden="false" customHeight="false" outlineLevel="0" collapsed="false">
      <c r="A161" s="7" t="n">
        <v>30407</v>
      </c>
      <c r="B161" s="1" t="n">
        <v>0.0071</v>
      </c>
      <c r="C161" s="1" t="n">
        <v>0.0666</v>
      </c>
      <c r="D161" s="1" t="n">
        <v>0.0046</v>
      </c>
      <c r="E161" s="1" t="n">
        <v>0.0043</v>
      </c>
      <c r="F161" s="1" t="n">
        <v>0.075719</v>
      </c>
      <c r="G161" s="1" t="n">
        <v>0.068731</v>
      </c>
      <c r="I161" s="1" t="n">
        <f aca="false">F161-$B161</f>
        <v>0.068619</v>
      </c>
      <c r="J161" s="1" t="n">
        <f aca="false">G161-$B161</f>
        <v>0.061631</v>
      </c>
    </row>
    <row r="162" customFormat="false" ht="15" hidden="false" customHeight="false" outlineLevel="0" collapsed="false">
      <c r="A162" s="7" t="n">
        <v>30437</v>
      </c>
      <c r="B162" s="1" t="n">
        <v>0.0069</v>
      </c>
      <c r="C162" s="1" t="n">
        <v>0.0051</v>
      </c>
      <c r="D162" s="1" t="n">
        <v>0.062</v>
      </c>
      <c r="E162" s="1" t="n">
        <v>-0.014</v>
      </c>
      <c r="F162" s="1" t="n">
        <v>-0.005687</v>
      </c>
      <c r="G162" s="1" t="n">
        <v>0.025788</v>
      </c>
      <c r="I162" s="1" t="n">
        <f aca="false">F162-$B162</f>
        <v>-0.012587</v>
      </c>
      <c r="J162" s="1" t="n">
        <f aca="false">G162-$B162</f>
        <v>0.018888</v>
      </c>
    </row>
    <row r="163" customFormat="false" ht="15" hidden="false" customHeight="false" outlineLevel="0" collapsed="false">
      <c r="A163" s="7" t="n">
        <v>30468</v>
      </c>
      <c r="B163" s="1" t="n">
        <v>0.0067</v>
      </c>
      <c r="C163" s="1" t="n">
        <v>0.0307</v>
      </c>
      <c r="D163" s="1" t="n">
        <v>0.0093</v>
      </c>
      <c r="E163" s="1" t="n">
        <v>-0.0389</v>
      </c>
      <c r="F163" s="1" t="n">
        <v>0.03697</v>
      </c>
      <c r="G163" s="1" t="n">
        <v>0.031633</v>
      </c>
      <c r="I163" s="1" t="n">
        <f aca="false">F163-$B163</f>
        <v>0.03027</v>
      </c>
      <c r="J163" s="1" t="n">
        <f aca="false">G163-$B163</f>
        <v>0.024933</v>
      </c>
    </row>
    <row r="164" customFormat="false" ht="15" hidden="false" customHeight="false" outlineLevel="0" collapsed="false">
      <c r="A164" s="7" t="n">
        <v>30498</v>
      </c>
      <c r="B164" s="1" t="n">
        <v>0.0074</v>
      </c>
      <c r="C164" s="1" t="n">
        <v>-0.0406</v>
      </c>
      <c r="D164" s="1" t="n">
        <v>0.015</v>
      </c>
      <c r="E164" s="1" t="n">
        <v>0.0554</v>
      </c>
      <c r="F164" s="1" t="n">
        <v>-0.031238</v>
      </c>
      <c r="G164" s="1" t="n">
        <v>-0.026509</v>
      </c>
      <c r="I164" s="1" t="n">
        <f aca="false">F164-$B164</f>
        <v>-0.038638</v>
      </c>
      <c r="J164" s="1" t="n">
        <f aca="false">G164-$B164</f>
        <v>-0.033909</v>
      </c>
    </row>
    <row r="165" customFormat="false" ht="15" hidden="false" customHeight="false" outlineLevel="0" collapsed="false">
      <c r="A165" s="7" t="n">
        <v>30529</v>
      </c>
      <c r="B165" s="1" t="n">
        <v>0.0076</v>
      </c>
      <c r="C165" s="1" t="n">
        <v>-0.005</v>
      </c>
      <c r="D165" s="1" t="n">
        <v>-0.0429</v>
      </c>
      <c r="E165" s="1" t="n">
        <v>0.0559</v>
      </c>
      <c r="F165" s="1" t="n">
        <v>0.015864</v>
      </c>
      <c r="G165" s="1" t="n">
        <v>0.004522</v>
      </c>
      <c r="I165" s="1" t="n">
        <f aca="false">F165-$B165</f>
        <v>0.008264</v>
      </c>
      <c r="J165" s="1" t="n">
        <f aca="false">G165-$B165</f>
        <v>-0.003078</v>
      </c>
    </row>
    <row r="166" customFormat="false" ht="15" hidden="false" customHeight="false" outlineLevel="0" collapsed="false">
      <c r="A166" s="7" t="n">
        <v>30560</v>
      </c>
      <c r="B166" s="1" t="n">
        <v>0.0076</v>
      </c>
      <c r="C166" s="1" t="n">
        <v>0.0092</v>
      </c>
      <c r="D166" s="1" t="n">
        <v>0.0061</v>
      </c>
      <c r="E166" s="1" t="n">
        <v>0.0099</v>
      </c>
      <c r="F166" s="1" t="n">
        <v>0.014105</v>
      </c>
      <c r="G166" s="1" t="n">
        <v>0.026009</v>
      </c>
      <c r="I166" s="1" t="n">
        <f aca="false">F166-$B166</f>
        <v>0.006505</v>
      </c>
      <c r="J166" s="1" t="n">
        <f aca="false">G166-$B166</f>
        <v>0.018409</v>
      </c>
    </row>
    <row r="167" customFormat="false" ht="15" hidden="false" customHeight="false" outlineLevel="0" collapsed="false">
      <c r="A167" s="7" t="n">
        <v>30590</v>
      </c>
      <c r="B167" s="1" t="n">
        <v>0.0076</v>
      </c>
      <c r="C167" s="1" t="n">
        <v>-0.0343</v>
      </c>
      <c r="D167" s="1" t="n">
        <v>-0.0355</v>
      </c>
      <c r="E167" s="1" t="n">
        <v>0.0496</v>
      </c>
      <c r="F167" s="1" t="n">
        <v>-0.013108</v>
      </c>
      <c r="G167" s="1" t="n">
        <v>-0.018816</v>
      </c>
      <c r="I167" s="1" t="n">
        <f aca="false">F167-$B167</f>
        <v>-0.020708</v>
      </c>
      <c r="J167" s="1" t="n">
        <f aca="false">G167-$B167</f>
        <v>-0.026416</v>
      </c>
    </row>
    <row r="168" customFormat="false" ht="15" hidden="false" customHeight="false" outlineLevel="0" collapsed="false">
      <c r="A168" s="7" t="n">
        <v>30621</v>
      </c>
      <c r="B168" s="1" t="n">
        <v>0.007</v>
      </c>
      <c r="C168" s="1" t="n">
        <v>0.0217</v>
      </c>
      <c r="D168" s="1" t="n">
        <v>0.0202</v>
      </c>
      <c r="E168" s="1" t="n">
        <v>-0.0073</v>
      </c>
      <c r="F168" s="1" t="n">
        <v>0.023846</v>
      </c>
      <c r="G168" s="1" t="n">
        <v>0.04717</v>
      </c>
      <c r="I168" s="1" t="n">
        <f aca="false">F168-$B168</f>
        <v>0.016846</v>
      </c>
      <c r="J168" s="1" t="n">
        <f aca="false">G168-$B168</f>
        <v>0.04017</v>
      </c>
    </row>
    <row r="169" customFormat="false" ht="15" hidden="false" customHeight="false" outlineLevel="0" collapsed="false">
      <c r="A169" s="7" t="n">
        <v>30651</v>
      </c>
      <c r="B169" s="1" t="n">
        <v>0.0073</v>
      </c>
      <c r="C169" s="1" t="n">
        <v>-0.0177</v>
      </c>
      <c r="D169" s="1" t="n">
        <v>-0.0025</v>
      </c>
      <c r="E169" s="1" t="n">
        <v>0.0175</v>
      </c>
      <c r="F169" s="1" t="n">
        <v>-0.005749</v>
      </c>
      <c r="G169" s="1" t="n">
        <v>-0.008631</v>
      </c>
      <c r="I169" s="1" t="n">
        <f aca="false">F169-$B169</f>
        <v>-0.013049</v>
      </c>
      <c r="J169" s="1" t="n">
        <f aca="false">G169-$B169</f>
        <v>-0.015931</v>
      </c>
    </row>
    <row r="170" customFormat="false" ht="15" hidden="false" customHeight="false" outlineLevel="0" collapsed="false">
      <c r="A170" s="7" t="n">
        <v>30682</v>
      </c>
      <c r="B170" s="1" t="n">
        <v>0.0076</v>
      </c>
      <c r="C170" s="1" t="n">
        <v>-0.0192</v>
      </c>
      <c r="D170" s="1" t="n">
        <v>-0.0035</v>
      </c>
      <c r="E170" s="1" t="n">
        <v>0.0748</v>
      </c>
      <c r="F170" s="1" t="n">
        <v>-0.003898</v>
      </c>
      <c r="G170" s="1" t="n">
        <v>-0.013908</v>
      </c>
      <c r="I170" s="1" t="n">
        <f aca="false">F170-$B170</f>
        <v>-0.011498</v>
      </c>
      <c r="J170" s="1" t="n">
        <f aca="false">G170-$B170</f>
        <v>-0.021508</v>
      </c>
    </row>
    <row r="171" customFormat="false" ht="15" hidden="false" customHeight="false" outlineLevel="0" collapsed="false">
      <c r="A171" s="7" t="n">
        <v>30713</v>
      </c>
      <c r="B171" s="1" t="n">
        <v>0.0071</v>
      </c>
      <c r="C171" s="1" t="n">
        <v>-0.0477</v>
      </c>
      <c r="D171" s="1" t="n">
        <v>-0.0168</v>
      </c>
      <c r="E171" s="1" t="n">
        <v>0.0341</v>
      </c>
      <c r="F171" s="1" t="n">
        <v>-0.034034</v>
      </c>
      <c r="G171" s="1" t="n">
        <v>-0.047416</v>
      </c>
      <c r="I171" s="1" t="n">
        <f aca="false">F171-$B171</f>
        <v>-0.041134</v>
      </c>
      <c r="J171" s="1" t="n">
        <f aca="false">G171-$B171</f>
        <v>-0.054516</v>
      </c>
    </row>
    <row r="172" customFormat="false" ht="15" hidden="false" customHeight="false" outlineLevel="0" collapsed="false">
      <c r="A172" s="7" t="n">
        <v>30742</v>
      </c>
      <c r="B172" s="1" t="n">
        <v>0.0073</v>
      </c>
      <c r="C172" s="1" t="n">
        <v>0.0065</v>
      </c>
      <c r="D172" s="1" t="n">
        <v>0.001</v>
      </c>
      <c r="E172" s="1" t="n">
        <v>0.0053</v>
      </c>
      <c r="F172" s="1" t="n">
        <v>0.017295</v>
      </c>
      <c r="G172" s="1" t="n">
        <v>0.022524</v>
      </c>
      <c r="I172" s="1" t="n">
        <f aca="false">F172-$B172</f>
        <v>0.009995</v>
      </c>
      <c r="J172" s="1" t="n">
        <f aca="false">G172-$B172</f>
        <v>0.015224</v>
      </c>
    </row>
    <row r="173" customFormat="false" ht="15" hidden="false" customHeight="false" outlineLevel="0" collapsed="false">
      <c r="A173" s="7" t="n">
        <v>30773</v>
      </c>
      <c r="B173" s="1" t="n">
        <v>0.0081</v>
      </c>
      <c r="C173" s="1" t="n">
        <v>-0.0051</v>
      </c>
      <c r="D173" s="1" t="n">
        <v>-0.0116</v>
      </c>
      <c r="E173" s="1" t="n">
        <v>0.0119</v>
      </c>
      <c r="F173" s="1" t="n">
        <v>0.006781</v>
      </c>
      <c r="G173" s="1" t="n">
        <v>-0.008973</v>
      </c>
      <c r="I173" s="1" t="n">
        <f aca="false">F173-$B173</f>
        <v>-0.001319</v>
      </c>
      <c r="J173" s="1" t="n">
        <f aca="false">G173-$B173</f>
        <v>-0.017073</v>
      </c>
    </row>
    <row r="174" customFormat="false" ht="15" hidden="false" customHeight="false" outlineLevel="0" collapsed="false">
      <c r="A174" s="7" t="n">
        <v>30803</v>
      </c>
      <c r="B174" s="1" t="n">
        <v>0.0078</v>
      </c>
      <c r="C174" s="1" t="n">
        <v>-0.0598</v>
      </c>
      <c r="D174" s="1" t="n">
        <v>0.0007</v>
      </c>
      <c r="E174" s="1" t="n">
        <v>0.0026</v>
      </c>
      <c r="F174" s="1" t="n">
        <v>-0.053131</v>
      </c>
      <c r="G174" s="1" t="n">
        <v>-0.05879</v>
      </c>
      <c r="I174" s="1" t="n">
        <f aca="false">F174-$B174</f>
        <v>-0.060931</v>
      </c>
      <c r="J174" s="1" t="n">
        <f aca="false">G174-$B174</f>
        <v>-0.06659</v>
      </c>
    </row>
    <row r="175" customFormat="false" ht="15" hidden="false" customHeight="false" outlineLevel="0" collapsed="false">
      <c r="A175" s="7" t="n">
        <v>30834</v>
      </c>
      <c r="B175" s="1" t="n">
        <v>0.0075</v>
      </c>
      <c r="C175" s="1" t="n">
        <v>0.0181</v>
      </c>
      <c r="D175" s="1" t="n">
        <v>-0.0024</v>
      </c>
      <c r="E175" s="1" t="n">
        <v>-0.0275</v>
      </c>
      <c r="F175" s="1" t="n">
        <v>0.022937</v>
      </c>
      <c r="G175" s="1" t="n">
        <v>0.031563</v>
      </c>
      <c r="I175" s="1" t="n">
        <f aca="false">F175-$B175</f>
        <v>0.015437</v>
      </c>
      <c r="J175" s="1" t="n">
        <f aca="false">G175-$B175</f>
        <v>0.024063</v>
      </c>
    </row>
    <row r="176" customFormat="false" ht="15" hidden="false" customHeight="false" outlineLevel="0" collapsed="false">
      <c r="A176" s="7" t="n">
        <v>30864</v>
      </c>
      <c r="B176" s="1" t="n">
        <v>0.0082</v>
      </c>
      <c r="C176" s="1" t="n">
        <v>-0.0272</v>
      </c>
      <c r="D176" s="1" t="n">
        <v>-0.022</v>
      </c>
      <c r="E176" s="1" t="n">
        <v>0.0039</v>
      </c>
      <c r="F176" s="1" t="n">
        <v>-0.013765</v>
      </c>
      <c r="G176" s="1" t="n">
        <v>-0.029442</v>
      </c>
      <c r="I176" s="1" t="n">
        <f aca="false">F176-$B176</f>
        <v>-0.021965</v>
      </c>
      <c r="J176" s="1" t="n">
        <f aca="false">G176-$B176</f>
        <v>-0.037642</v>
      </c>
    </row>
    <row r="177" customFormat="false" ht="15" hidden="false" customHeight="false" outlineLevel="0" collapsed="false">
      <c r="A177" s="7" t="n">
        <v>30895</v>
      </c>
      <c r="B177" s="1" t="n">
        <v>0.0083</v>
      </c>
      <c r="C177" s="1" t="n">
        <v>0.1027</v>
      </c>
      <c r="D177" s="1" t="n">
        <v>-0.0027</v>
      </c>
      <c r="E177" s="1" t="n">
        <v>-0.0174</v>
      </c>
      <c r="F177" s="1" t="n">
        <v>0.112438</v>
      </c>
      <c r="G177" s="1" t="n">
        <v>0.128256</v>
      </c>
      <c r="I177" s="1" t="n">
        <f aca="false">F177-$B177</f>
        <v>0.104138</v>
      </c>
      <c r="J177" s="1" t="n">
        <f aca="false">G177-$B177</f>
        <v>0.119956</v>
      </c>
    </row>
    <row r="178" customFormat="false" ht="15" hidden="false" customHeight="false" outlineLevel="0" collapsed="false">
      <c r="A178" s="7" t="n">
        <v>30926</v>
      </c>
      <c r="B178" s="1" t="n">
        <v>0.0086</v>
      </c>
      <c r="C178" s="1" t="n">
        <v>-0.008</v>
      </c>
      <c r="D178" s="1" t="n">
        <v>0.0015</v>
      </c>
      <c r="E178" s="1" t="n">
        <v>0.0525</v>
      </c>
      <c r="F178" s="1" t="n">
        <v>-6.4E-005</v>
      </c>
      <c r="G178" s="1" t="n">
        <v>0.00349</v>
      </c>
      <c r="I178" s="1" t="n">
        <f aca="false">F178-$B178</f>
        <v>-0.008664</v>
      </c>
      <c r="J178" s="1" t="n">
        <f aca="false">G178-$B178</f>
        <v>-0.00511</v>
      </c>
    </row>
    <row r="179" customFormat="false" ht="15" hidden="false" customHeight="false" outlineLevel="0" collapsed="false">
      <c r="A179" s="7" t="n">
        <v>30956</v>
      </c>
      <c r="B179" s="1" t="n">
        <v>0.01</v>
      </c>
      <c r="C179" s="1" t="n">
        <v>-0.0084</v>
      </c>
      <c r="D179" s="1" t="n">
        <v>-0.0111</v>
      </c>
      <c r="E179" s="1" t="n">
        <v>0.0059</v>
      </c>
      <c r="F179" s="1" t="n">
        <v>0.003331</v>
      </c>
      <c r="G179" s="1" t="n">
        <v>0.00061</v>
      </c>
      <c r="I179" s="1" t="n">
        <f aca="false">F179-$B179</f>
        <v>-0.006669</v>
      </c>
      <c r="J179" s="1" t="n">
        <f aca="false">G179-$B179</f>
        <v>-0.00939</v>
      </c>
    </row>
    <row r="180" customFormat="false" ht="15" hidden="false" customHeight="false" outlineLevel="0" collapsed="false">
      <c r="A180" s="7" t="n">
        <v>30987</v>
      </c>
      <c r="B180" s="1" t="n">
        <v>0.0073</v>
      </c>
      <c r="C180" s="1" t="n">
        <v>-0.0177</v>
      </c>
      <c r="D180" s="1" t="n">
        <v>-0.0072</v>
      </c>
      <c r="E180" s="1" t="n">
        <v>0.0387</v>
      </c>
      <c r="F180" s="1" t="n">
        <v>-0.009841</v>
      </c>
      <c r="G180" s="1" t="n">
        <v>-0.003016</v>
      </c>
      <c r="I180" s="1" t="n">
        <f aca="false">F180-$B180</f>
        <v>-0.017141</v>
      </c>
      <c r="J180" s="1" t="n">
        <f aca="false">G180-$B180</f>
        <v>-0.010316</v>
      </c>
    </row>
    <row r="181" customFormat="false" ht="15" hidden="false" customHeight="false" outlineLevel="0" collapsed="false">
      <c r="A181" s="7" t="n">
        <v>31017</v>
      </c>
      <c r="B181" s="1" t="n">
        <v>0.0064</v>
      </c>
      <c r="C181" s="1" t="n">
        <v>0.0185</v>
      </c>
      <c r="D181" s="1" t="n">
        <v>-0.0048</v>
      </c>
      <c r="E181" s="1" t="n">
        <v>-0.0003</v>
      </c>
      <c r="F181" s="1" t="n">
        <v>0.025556</v>
      </c>
      <c r="G181" s="1" t="n">
        <v>0.024721</v>
      </c>
      <c r="I181" s="1" t="n">
        <f aca="false">F181-$B181</f>
        <v>0.019156</v>
      </c>
      <c r="J181" s="1" t="n">
        <f aca="false">G181-$B181</f>
        <v>0.018321</v>
      </c>
    </row>
    <row r="182" customFormat="false" ht="15" hidden="false" customHeight="false" outlineLevel="0" collapsed="false">
      <c r="A182" s="7" t="n">
        <v>31048</v>
      </c>
      <c r="B182" s="1" t="n">
        <v>0.0065</v>
      </c>
      <c r="C182" s="1" t="n">
        <v>0.0797</v>
      </c>
      <c r="D182" s="1" t="n">
        <v>0.0328</v>
      </c>
      <c r="E182" s="1" t="n">
        <v>-0.052</v>
      </c>
      <c r="F182" s="1" t="n">
        <v>0.076868</v>
      </c>
      <c r="G182" s="1" t="n">
        <v>0.09472</v>
      </c>
      <c r="I182" s="1" t="n">
        <f aca="false">F182-$B182</f>
        <v>0.070368</v>
      </c>
      <c r="J182" s="1" t="n">
        <f aca="false">G182-$B182</f>
        <v>0.08822</v>
      </c>
    </row>
    <row r="183" customFormat="false" ht="15" hidden="false" customHeight="false" outlineLevel="0" collapsed="false">
      <c r="A183" s="7" t="n">
        <v>31079</v>
      </c>
      <c r="B183" s="1" t="n">
        <v>0.0058</v>
      </c>
      <c r="C183" s="1" t="n">
        <v>0.0122</v>
      </c>
      <c r="D183" s="1" t="n">
        <v>0.0063</v>
      </c>
      <c r="E183" s="1" t="n">
        <v>-0.0036</v>
      </c>
      <c r="F183" s="1" t="n">
        <v>0.014166</v>
      </c>
      <c r="G183" s="1" t="n">
        <v>0.00979</v>
      </c>
      <c r="I183" s="1" t="n">
        <f aca="false">F183-$B183</f>
        <v>0.008366</v>
      </c>
      <c r="J183" s="1" t="n">
        <f aca="false">G183-$B183</f>
        <v>0.00399</v>
      </c>
    </row>
    <row r="184" customFormat="false" ht="15" hidden="false" customHeight="false" outlineLevel="0" collapsed="false">
      <c r="A184" s="7" t="n">
        <v>31107</v>
      </c>
      <c r="B184" s="1" t="n">
        <v>0.0062</v>
      </c>
      <c r="C184" s="1" t="n">
        <v>-0.0083</v>
      </c>
      <c r="D184" s="1" t="n">
        <v>-0.0107</v>
      </c>
      <c r="E184" s="1" t="n">
        <v>0.0401</v>
      </c>
      <c r="F184" s="1" t="n">
        <v>-0.000636</v>
      </c>
      <c r="G184" s="1" t="n">
        <v>-0.003593</v>
      </c>
      <c r="I184" s="1" t="n">
        <f aca="false">F184-$B184</f>
        <v>-0.006836</v>
      </c>
      <c r="J184" s="1" t="n">
        <f aca="false">G184-$B184</f>
        <v>-0.009793</v>
      </c>
    </row>
    <row r="185" customFormat="false" ht="15" hidden="false" customHeight="false" outlineLevel="0" collapsed="false">
      <c r="A185" s="7" t="n">
        <v>31138</v>
      </c>
      <c r="B185" s="1" t="n">
        <v>0.0072</v>
      </c>
      <c r="C185" s="1" t="n">
        <v>-0.0096</v>
      </c>
      <c r="D185" s="1" t="n">
        <v>0.0009</v>
      </c>
      <c r="E185" s="1" t="n">
        <v>0.036</v>
      </c>
      <c r="F185" s="1" t="n">
        <v>-0.003704</v>
      </c>
      <c r="G185" s="1" t="n">
        <v>-0.011623</v>
      </c>
      <c r="I185" s="1" t="n">
        <f aca="false">F185-$B185</f>
        <v>-0.010904</v>
      </c>
      <c r="J185" s="1" t="n">
        <f aca="false">G185-$B185</f>
        <v>-0.018823</v>
      </c>
    </row>
    <row r="186" customFormat="false" ht="15" hidden="false" customHeight="false" outlineLevel="0" collapsed="false">
      <c r="A186" s="7" t="n">
        <v>31168</v>
      </c>
      <c r="B186" s="1" t="n">
        <v>0.0066</v>
      </c>
      <c r="C186" s="1" t="n">
        <v>0.0507</v>
      </c>
      <c r="D186" s="1" t="n">
        <v>-0.023</v>
      </c>
      <c r="E186" s="1" t="n">
        <v>-0.0098</v>
      </c>
      <c r="F186" s="1" t="n">
        <v>0.06274</v>
      </c>
      <c r="G186" s="1" t="n">
        <v>0.066695</v>
      </c>
      <c r="I186" s="1" t="n">
        <f aca="false">F186-$B186</f>
        <v>0.05614</v>
      </c>
      <c r="J186" s="1" t="n">
        <f aca="false">G186-$B186</f>
        <v>0.060095</v>
      </c>
    </row>
    <row r="187" customFormat="false" ht="15" hidden="false" customHeight="false" outlineLevel="0" collapsed="false">
      <c r="A187" s="7" t="n">
        <v>31199</v>
      </c>
      <c r="B187" s="1" t="n">
        <v>0.0055</v>
      </c>
      <c r="C187" s="1" t="n">
        <v>0.0127</v>
      </c>
      <c r="D187" s="1" t="n">
        <v>0.0048</v>
      </c>
      <c r="E187" s="1" t="n">
        <v>0.0038</v>
      </c>
      <c r="F187" s="1" t="n">
        <v>0.016065</v>
      </c>
      <c r="G187" s="1" t="n">
        <v>0.014504</v>
      </c>
      <c r="I187" s="1" t="n">
        <f aca="false">F187-$B187</f>
        <v>0.010565</v>
      </c>
      <c r="J187" s="1" t="n">
        <f aca="false">G187-$B187</f>
        <v>0.009004</v>
      </c>
    </row>
    <row r="188" customFormat="false" ht="15" hidden="false" customHeight="false" outlineLevel="0" collapsed="false">
      <c r="A188" s="7" t="n">
        <v>31229</v>
      </c>
      <c r="B188" s="1" t="n">
        <v>0.0062</v>
      </c>
      <c r="C188" s="1" t="n">
        <v>-0.0072</v>
      </c>
      <c r="D188" s="1" t="n">
        <v>0.0283</v>
      </c>
      <c r="E188" s="1" t="n">
        <v>-0.0162</v>
      </c>
      <c r="F188" s="1" t="n">
        <v>-0.003321</v>
      </c>
      <c r="G188" s="1" t="n">
        <v>0.009243</v>
      </c>
      <c r="I188" s="1" t="n">
        <f aca="false">F188-$B188</f>
        <v>-0.009521</v>
      </c>
      <c r="J188" s="1" t="n">
        <f aca="false">G188-$B188</f>
        <v>0.003043</v>
      </c>
    </row>
    <row r="189" customFormat="false" ht="15" hidden="false" customHeight="false" outlineLevel="0" collapsed="false">
      <c r="A189" s="7" t="n">
        <v>31260</v>
      </c>
      <c r="B189" s="1" t="n">
        <v>0.0055</v>
      </c>
      <c r="C189" s="1" t="n">
        <v>-0.0101</v>
      </c>
      <c r="D189" s="1" t="n">
        <v>-0.003</v>
      </c>
      <c r="E189" s="1" t="n">
        <v>0.0234</v>
      </c>
      <c r="F189" s="1" t="n">
        <v>-0.006473</v>
      </c>
      <c r="G189" s="1" t="n">
        <v>-0.008381</v>
      </c>
      <c r="I189" s="1" t="n">
        <f aca="false">F189-$B189</f>
        <v>-0.011973</v>
      </c>
      <c r="J189" s="1" t="n">
        <f aca="false">G189-$B189</f>
        <v>-0.013881</v>
      </c>
    </row>
    <row r="190" customFormat="false" ht="15" hidden="false" customHeight="false" outlineLevel="0" collapsed="false">
      <c r="A190" s="7" t="n">
        <v>31291</v>
      </c>
      <c r="B190" s="1" t="n">
        <v>0.006</v>
      </c>
      <c r="C190" s="1" t="n">
        <v>-0.0451</v>
      </c>
      <c r="D190" s="1" t="n">
        <v>-0.0162</v>
      </c>
      <c r="E190" s="1" t="n">
        <v>0.0121</v>
      </c>
      <c r="F190" s="1" t="n">
        <v>-0.033248</v>
      </c>
      <c r="G190" s="1" t="n">
        <v>-0.044999</v>
      </c>
      <c r="I190" s="1" t="n">
        <f aca="false">F190-$B190</f>
        <v>-0.039248</v>
      </c>
      <c r="J190" s="1" t="n">
        <f aca="false">G190-$B190</f>
        <v>-0.050999</v>
      </c>
    </row>
    <row r="191" customFormat="false" ht="15" hidden="false" customHeight="false" outlineLevel="0" collapsed="false">
      <c r="A191" s="7" t="n">
        <v>31321</v>
      </c>
      <c r="B191" s="1" t="n">
        <v>0.0065</v>
      </c>
      <c r="C191" s="1" t="n">
        <v>0.04</v>
      </c>
      <c r="D191" s="1" t="n">
        <v>-0.015</v>
      </c>
      <c r="E191" s="1" t="n">
        <v>0.0077</v>
      </c>
      <c r="F191" s="1" t="n">
        <v>0.045079</v>
      </c>
      <c r="G191" s="1" t="n">
        <v>0.042571</v>
      </c>
      <c r="I191" s="1" t="n">
        <f aca="false">F191-$B191</f>
        <v>0.038579</v>
      </c>
      <c r="J191" s="1" t="n">
        <f aca="false">G191-$B191</f>
        <v>0.036071</v>
      </c>
    </row>
    <row r="192" customFormat="false" ht="15" hidden="false" customHeight="false" outlineLevel="0" collapsed="false">
      <c r="A192" s="7" t="n">
        <v>31352</v>
      </c>
      <c r="B192" s="1" t="n">
        <v>0.0061</v>
      </c>
      <c r="C192" s="1" t="n">
        <v>0.0646</v>
      </c>
      <c r="D192" s="1" t="n">
        <v>0.0019</v>
      </c>
      <c r="E192" s="1" t="n">
        <v>-0.0291</v>
      </c>
      <c r="F192" s="1" t="n">
        <v>0.071887</v>
      </c>
      <c r="G192" s="1" t="n">
        <v>0.074397</v>
      </c>
      <c r="I192" s="1" t="n">
        <f aca="false">F192-$B192</f>
        <v>0.065787</v>
      </c>
      <c r="J192" s="1" t="n">
        <f aca="false">G192-$B192</f>
        <v>0.068297</v>
      </c>
    </row>
    <row r="193" customFormat="false" ht="15" hidden="false" customHeight="false" outlineLevel="0" collapsed="false">
      <c r="A193" s="7" t="n">
        <v>31382</v>
      </c>
      <c r="B193" s="1" t="n">
        <v>0.0065</v>
      </c>
      <c r="C193" s="1" t="n">
        <v>0.0388</v>
      </c>
      <c r="D193" s="1" t="n">
        <v>-0.0053</v>
      </c>
      <c r="E193" s="1" t="n">
        <v>-0.0146</v>
      </c>
      <c r="F193" s="1" t="n">
        <v>0.048156</v>
      </c>
      <c r="G193" s="1" t="n">
        <v>0.043535</v>
      </c>
      <c r="I193" s="1" t="n">
        <f aca="false">F193-$B193</f>
        <v>0.041656</v>
      </c>
      <c r="J193" s="1" t="n">
        <f aca="false">G193-$B193</f>
        <v>0.037035</v>
      </c>
    </row>
    <row r="194" customFormat="false" ht="15" hidden="false" customHeight="false" outlineLevel="0" collapsed="false">
      <c r="A194" s="7" t="n">
        <v>31413</v>
      </c>
      <c r="B194" s="1" t="n">
        <v>0.0056</v>
      </c>
      <c r="C194" s="1" t="n">
        <v>0.0065</v>
      </c>
      <c r="D194" s="1" t="n">
        <v>0.0115</v>
      </c>
      <c r="E194" s="1" t="n">
        <v>0.0046</v>
      </c>
      <c r="F194" s="1" t="n">
        <v>0.004706</v>
      </c>
      <c r="G194" s="1" t="n">
        <v>0.016882</v>
      </c>
      <c r="I194" s="1" t="n">
        <f aca="false">F194-$B194</f>
        <v>-0.000894</v>
      </c>
      <c r="J194" s="1" t="n">
        <f aca="false">G194-$B194</f>
        <v>0.011282</v>
      </c>
    </row>
    <row r="195" customFormat="false" ht="15" hidden="false" customHeight="false" outlineLevel="0" collapsed="false">
      <c r="A195" s="7" t="n">
        <v>31444</v>
      </c>
      <c r="B195" s="1" t="n">
        <v>0.0053</v>
      </c>
      <c r="C195" s="1" t="n">
        <v>0.0714</v>
      </c>
      <c r="D195" s="1" t="n">
        <v>-0.0057</v>
      </c>
      <c r="E195" s="1" t="n">
        <v>-0.0063</v>
      </c>
      <c r="F195" s="1" t="n">
        <v>0.076525</v>
      </c>
      <c r="G195" s="1" t="n">
        <v>0.080966</v>
      </c>
      <c r="I195" s="1" t="n">
        <f aca="false">F195-$B195</f>
        <v>0.071225</v>
      </c>
      <c r="J195" s="1" t="n">
        <f aca="false">G195-$B195</f>
        <v>0.075666</v>
      </c>
    </row>
    <row r="196" customFormat="false" ht="15" hidden="false" customHeight="false" outlineLevel="0" collapsed="false">
      <c r="A196" s="7" t="n">
        <v>31472</v>
      </c>
      <c r="B196" s="1" t="n">
        <v>0.006</v>
      </c>
      <c r="C196" s="1" t="n">
        <v>0.0491</v>
      </c>
      <c r="D196" s="1" t="n">
        <v>-0.0054</v>
      </c>
      <c r="E196" s="1" t="n">
        <v>-0.0039</v>
      </c>
      <c r="F196" s="1" t="n">
        <v>0.055832</v>
      </c>
      <c r="G196" s="1" t="n">
        <v>0.060394</v>
      </c>
      <c r="I196" s="1" t="n">
        <f aca="false">F196-$B196</f>
        <v>0.049832</v>
      </c>
      <c r="J196" s="1" t="n">
        <f aca="false">G196-$B196</f>
        <v>0.054394</v>
      </c>
    </row>
    <row r="197" customFormat="false" ht="15" hidden="false" customHeight="false" outlineLevel="0" collapsed="false">
      <c r="A197" s="7" t="n">
        <v>31503</v>
      </c>
      <c r="B197" s="1" t="n">
        <v>0.0052</v>
      </c>
      <c r="C197" s="1" t="n">
        <v>-0.0128</v>
      </c>
      <c r="D197" s="1" t="n">
        <v>0.0276</v>
      </c>
      <c r="E197" s="1" t="n">
        <v>-0.0281</v>
      </c>
      <c r="F197" s="1" t="n">
        <v>-0.013348</v>
      </c>
      <c r="G197" s="1" t="n">
        <v>-0.019923</v>
      </c>
      <c r="I197" s="1" t="n">
        <f aca="false">F197-$B197</f>
        <v>-0.018548</v>
      </c>
      <c r="J197" s="1" t="n">
        <f aca="false">G197-$B197</f>
        <v>-0.025123</v>
      </c>
    </row>
    <row r="198" customFormat="false" ht="15" hidden="false" customHeight="false" outlineLevel="0" collapsed="false">
      <c r="A198" s="7" t="n">
        <v>31533</v>
      </c>
      <c r="B198" s="1" t="n">
        <v>0.0049</v>
      </c>
      <c r="C198" s="1" t="n">
        <v>0.0462</v>
      </c>
      <c r="D198" s="1" t="n">
        <v>-0.0136</v>
      </c>
      <c r="E198" s="1" t="n">
        <v>-0.0014</v>
      </c>
      <c r="F198" s="1" t="n">
        <v>0.055327</v>
      </c>
      <c r="G198" s="1" t="n">
        <v>0.057889</v>
      </c>
      <c r="I198" s="1" t="n">
        <f aca="false">F198-$B198</f>
        <v>0.050427</v>
      </c>
      <c r="J198" s="1" t="n">
        <f aca="false">G198-$B198</f>
        <v>0.052989</v>
      </c>
    </row>
    <row r="199" customFormat="false" ht="15" hidden="false" customHeight="false" outlineLevel="0" collapsed="false">
      <c r="A199" s="7" t="n">
        <v>31564</v>
      </c>
      <c r="B199" s="1" t="n">
        <v>0.0052</v>
      </c>
      <c r="C199" s="1" t="n">
        <v>0.0106</v>
      </c>
      <c r="D199" s="1" t="n">
        <v>-0.0093</v>
      </c>
      <c r="E199" s="1" t="n">
        <v>0.012</v>
      </c>
      <c r="F199" s="1" t="n">
        <v>0.015744</v>
      </c>
      <c r="G199" s="1" t="n">
        <v>0.001974</v>
      </c>
      <c r="I199" s="1" t="n">
        <f aca="false">F199-$B199</f>
        <v>0.010544</v>
      </c>
      <c r="J199" s="1" t="n">
        <f aca="false">G199-$B199</f>
        <v>-0.003226</v>
      </c>
    </row>
    <row r="200" customFormat="false" ht="15" hidden="false" customHeight="false" outlineLevel="0" collapsed="false">
      <c r="A200" s="7" t="n">
        <v>31594</v>
      </c>
      <c r="B200" s="1" t="n">
        <v>0.0052</v>
      </c>
      <c r="C200" s="1" t="n">
        <v>-0.0643</v>
      </c>
      <c r="D200" s="1" t="n">
        <v>-0.0343</v>
      </c>
      <c r="E200" s="1" t="n">
        <v>0.0466</v>
      </c>
      <c r="F200" s="1" t="n">
        <v>-0.057542</v>
      </c>
      <c r="G200" s="1" t="n">
        <v>-0.07533</v>
      </c>
      <c r="I200" s="1" t="n">
        <f aca="false">F200-$B200</f>
        <v>-0.062742</v>
      </c>
      <c r="J200" s="1" t="n">
        <f aca="false">G200-$B200</f>
        <v>-0.08053</v>
      </c>
    </row>
    <row r="201" customFormat="false" ht="15" hidden="false" customHeight="false" outlineLevel="0" collapsed="false">
      <c r="A201" s="7" t="n">
        <v>31625</v>
      </c>
      <c r="B201" s="1" t="n">
        <v>0.0046</v>
      </c>
      <c r="C201" s="1" t="n">
        <v>0.0607</v>
      </c>
      <c r="D201" s="1" t="n">
        <v>-0.0416</v>
      </c>
      <c r="E201" s="1" t="n">
        <v>0.0354</v>
      </c>
      <c r="F201" s="1" t="n">
        <v>0.074417</v>
      </c>
      <c r="G201" s="1" t="n">
        <v>0.077913</v>
      </c>
      <c r="I201" s="1" t="n">
        <f aca="false">F201-$B201</f>
        <v>0.069817</v>
      </c>
      <c r="J201" s="1" t="n">
        <f aca="false">G201-$B201</f>
        <v>0.073313</v>
      </c>
    </row>
    <row r="202" customFormat="false" ht="15" hidden="false" customHeight="false" outlineLevel="0" collapsed="false">
      <c r="A202" s="7" t="n">
        <v>31656</v>
      </c>
      <c r="B202" s="1" t="n">
        <v>0.0045</v>
      </c>
      <c r="C202" s="1" t="n">
        <v>-0.0859</v>
      </c>
      <c r="D202" s="1" t="n">
        <v>0.024</v>
      </c>
      <c r="E202" s="1" t="n">
        <v>0.0323</v>
      </c>
      <c r="F202" s="1" t="n">
        <v>-0.083243</v>
      </c>
      <c r="G202" s="1" t="n">
        <v>-0.07124</v>
      </c>
      <c r="I202" s="1" t="n">
        <f aca="false">F202-$B202</f>
        <v>-0.087743</v>
      </c>
      <c r="J202" s="1" t="n">
        <f aca="false">G202-$B202</f>
        <v>-0.07574</v>
      </c>
    </row>
    <row r="203" customFormat="false" ht="15" hidden="false" customHeight="false" outlineLevel="0" collapsed="false">
      <c r="A203" s="7" t="n">
        <v>31686</v>
      </c>
      <c r="B203" s="1" t="n">
        <v>0.0046</v>
      </c>
      <c r="C203" s="1" t="n">
        <v>0.0464</v>
      </c>
      <c r="D203" s="1" t="n">
        <v>-0.0253</v>
      </c>
      <c r="E203" s="1" t="n">
        <v>-0.0142</v>
      </c>
      <c r="F203" s="1" t="n">
        <v>0.056538</v>
      </c>
      <c r="G203" s="1" t="n">
        <v>0.063058</v>
      </c>
      <c r="I203" s="1" t="n">
        <f aca="false">F203-$B203</f>
        <v>0.051938</v>
      </c>
      <c r="J203" s="1" t="n">
        <f aca="false">G203-$B203</f>
        <v>0.058458</v>
      </c>
    </row>
    <row r="204" customFormat="false" ht="15" hidden="false" customHeight="false" outlineLevel="0" collapsed="false">
      <c r="A204" s="7" t="n">
        <v>31717</v>
      </c>
      <c r="B204" s="1" t="n">
        <v>0.0039</v>
      </c>
      <c r="C204" s="1" t="n">
        <v>0.0117</v>
      </c>
      <c r="D204" s="1" t="n">
        <v>-0.0187</v>
      </c>
      <c r="E204" s="1" t="n">
        <v>-0.0002</v>
      </c>
      <c r="F204" s="1" t="n">
        <v>0.024876</v>
      </c>
      <c r="G204" s="1" t="n">
        <v>0.022385</v>
      </c>
      <c r="I204" s="1" t="n">
        <f aca="false">F204-$B204</f>
        <v>0.020976</v>
      </c>
      <c r="J204" s="1" t="n">
        <f aca="false">G204-$B204</f>
        <v>0.018485</v>
      </c>
    </row>
    <row r="205" customFormat="false" ht="15" hidden="false" customHeight="false" outlineLevel="0" collapsed="false">
      <c r="A205" s="7" t="n">
        <v>31747</v>
      </c>
      <c r="B205" s="1" t="n">
        <v>0.0049</v>
      </c>
      <c r="C205" s="1" t="n">
        <v>-0.0326</v>
      </c>
      <c r="D205" s="1" t="n">
        <v>0.0019</v>
      </c>
      <c r="E205" s="1" t="n">
        <v>0.0036</v>
      </c>
      <c r="F205" s="1" t="n">
        <v>-0.027513</v>
      </c>
      <c r="G205" s="1" t="n">
        <v>-0.032351</v>
      </c>
      <c r="I205" s="1" t="n">
        <f aca="false">F205-$B205</f>
        <v>-0.032413</v>
      </c>
      <c r="J205" s="1" t="n">
        <f aca="false">G205-$B205</f>
        <v>-0.037251</v>
      </c>
    </row>
    <row r="206" customFormat="false" ht="15" hidden="false" customHeight="false" outlineLevel="0" collapsed="false">
      <c r="A206" s="7" t="n">
        <v>31778</v>
      </c>
      <c r="B206" s="1" t="n">
        <v>0.0042</v>
      </c>
      <c r="C206" s="1" t="n">
        <v>0.1245</v>
      </c>
      <c r="D206" s="1" t="n">
        <v>-0.0189</v>
      </c>
      <c r="E206" s="1" t="n">
        <v>-0.0318</v>
      </c>
      <c r="F206" s="1" t="n">
        <v>0.135183</v>
      </c>
      <c r="G206" s="1" t="n">
        <v>0.141073</v>
      </c>
      <c r="I206" s="1" t="n">
        <f aca="false">F206-$B206</f>
        <v>0.130983</v>
      </c>
      <c r="J206" s="1" t="n">
        <f aca="false">G206-$B206</f>
        <v>0.136873</v>
      </c>
    </row>
    <row r="207" customFormat="false" ht="15" hidden="false" customHeight="false" outlineLevel="0" collapsed="false">
      <c r="A207" s="7" t="n">
        <v>31809</v>
      </c>
      <c r="B207" s="1" t="n">
        <v>0.0043</v>
      </c>
      <c r="C207" s="1" t="n">
        <v>0.0438</v>
      </c>
      <c r="D207" s="1" t="n">
        <v>0.0345</v>
      </c>
      <c r="E207" s="1" t="n">
        <v>-0.0586</v>
      </c>
      <c r="F207" s="1" t="n">
        <v>0.041778</v>
      </c>
      <c r="G207" s="1" t="n">
        <v>0.059275</v>
      </c>
      <c r="I207" s="1" t="n">
        <f aca="false">F207-$B207</f>
        <v>0.037478</v>
      </c>
      <c r="J207" s="1" t="n">
        <f aca="false">G207-$B207</f>
        <v>0.054975</v>
      </c>
    </row>
    <row r="208" customFormat="false" ht="15" hidden="false" customHeight="false" outlineLevel="0" collapsed="false">
      <c r="A208" s="7" t="n">
        <v>31837</v>
      </c>
      <c r="B208" s="1" t="n">
        <v>0.0047</v>
      </c>
      <c r="C208" s="1" t="n">
        <v>0.0163</v>
      </c>
      <c r="D208" s="1" t="n">
        <v>0.005</v>
      </c>
      <c r="E208" s="1" t="n">
        <v>0.0166</v>
      </c>
      <c r="F208" s="1" t="n">
        <v>0.026336</v>
      </c>
      <c r="G208" s="1" t="n">
        <v>0.01991</v>
      </c>
      <c r="I208" s="1" t="n">
        <f aca="false">F208-$B208</f>
        <v>0.021636</v>
      </c>
      <c r="J208" s="1" t="n">
        <f aca="false">G208-$B208</f>
        <v>0.01521</v>
      </c>
    </row>
    <row r="209" customFormat="false" ht="15" hidden="false" customHeight="false" outlineLevel="0" collapsed="false">
      <c r="A209" s="7" t="n">
        <v>31868</v>
      </c>
      <c r="B209" s="1" t="n">
        <v>0.0044</v>
      </c>
      <c r="C209" s="1" t="n">
        <v>-0.0209</v>
      </c>
      <c r="D209" s="1" t="n">
        <v>-0.0172</v>
      </c>
      <c r="E209" s="1" t="n">
        <v>-0.0036</v>
      </c>
      <c r="F209" s="1" t="n">
        <v>-0.009045</v>
      </c>
      <c r="G209" s="1" t="n">
        <v>-0.012617</v>
      </c>
      <c r="I209" s="1" t="n">
        <f aca="false">F209-$B209</f>
        <v>-0.013445</v>
      </c>
      <c r="J209" s="1" t="n">
        <f aca="false">G209-$B209</f>
        <v>-0.017017</v>
      </c>
    </row>
    <row r="210" customFormat="false" ht="15" hidden="false" customHeight="false" outlineLevel="0" collapsed="false">
      <c r="A210" s="7" t="n">
        <v>31898</v>
      </c>
      <c r="B210" s="1" t="n">
        <v>0.0038</v>
      </c>
      <c r="C210" s="1" t="n">
        <v>0.0011</v>
      </c>
      <c r="D210" s="1" t="n">
        <v>-0.0053</v>
      </c>
      <c r="E210" s="1" t="n">
        <v>0.0022</v>
      </c>
      <c r="F210" s="1" t="n">
        <v>0.009128</v>
      </c>
      <c r="G210" s="1" t="n">
        <v>0.012788</v>
      </c>
      <c r="I210" s="1" t="n">
        <f aca="false">F210-$B210</f>
        <v>0.005328</v>
      </c>
      <c r="J210" s="1" t="n">
        <f aca="false">G210-$B210</f>
        <v>0.008988</v>
      </c>
    </row>
    <row r="211" customFormat="false" ht="15" hidden="false" customHeight="false" outlineLevel="0" collapsed="false">
      <c r="A211" s="7" t="n">
        <v>31929</v>
      </c>
      <c r="B211" s="1" t="n">
        <v>0.0048</v>
      </c>
      <c r="C211" s="1" t="n">
        <v>0.0391</v>
      </c>
      <c r="D211" s="1" t="n">
        <v>-0.0203</v>
      </c>
      <c r="E211" s="1" t="n">
        <v>0.0113</v>
      </c>
      <c r="F211" s="1" t="n">
        <v>0.05014</v>
      </c>
      <c r="G211" s="1" t="n">
        <v>0.044007</v>
      </c>
      <c r="I211" s="1" t="n">
        <f aca="false">F211-$B211</f>
        <v>0.04534</v>
      </c>
      <c r="J211" s="1" t="n">
        <f aca="false">G211-$B211</f>
        <v>0.039207</v>
      </c>
    </row>
    <row r="212" customFormat="false" ht="15" hidden="false" customHeight="false" outlineLevel="0" collapsed="false">
      <c r="A212" s="7" t="n">
        <v>31959</v>
      </c>
      <c r="B212" s="1" t="n">
        <v>0.0046</v>
      </c>
      <c r="C212" s="1" t="n">
        <v>0.0384</v>
      </c>
      <c r="D212" s="1" t="n">
        <v>-0.0057</v>
      </c>
      <c r="E212" s="1" t="n">
        <v>0.0094</v>
      </c>
      <c r="F212" s="1" t="n">
        <v>0.049843</v>
      </c>
      <c r="G212" s="1" t="n">
        <v>0.065255</v>
      </c>
      <c r="I212" s="1" t="n">
        <f aca="false">F212-$B212</f>
        <v>0.045243</v>
      </c>
      <c r="J212" s="1" t="n">
        <f aca="false">G212-$B212</f>
        <v>0.060655</v>
      </c>
    </row>
    <row r="213" customFormat="false" ht="15" hidden="false" customHeight="false" outlineLevel="0" collapsed="false">
      <c r="A213" s="7" t="n">
        <v>31990</v>
      </c>
      <c r="B213" s="1" t="n">
        <v>0.0047</v>
      </c>
      <c r="C213" s="1" t="n">
        <v>0.0352</v>
      </c>
      <c r="D213" s="1" t="n">
        <v>-0.0085</v>
      </c>
      <c r="E213" s="1" t="n">
        <v>-0.0098</v>
      </c>
      <c r="F213" s="1" t="n">
        <v>0.039108</v>
      </c>
      <c r="G213" s="1" t="n">
        <v>0.029417</v>
      </c>
      <c r="I213" s="1" t="n">
        <f aca="false">F213-$B213</f>
        <v>0.034408</v>
      </c>
      <c r="J213" s="1" t="n">
        <f aca="false">G213-$B213</f>
        <v>0.024717</v>
      </c>
    </row>
    <row r="214" customFormat="false" ht="15" hidden="false" customHeight="false" outlineLevel="0" collapsed="false">
      <c r="A214" s="7" t="n">
        <v>32021</v>
      </c>
      <c r="B214" s="1" t="n">
        <v>0.0045</v>
      </c>
      <c r="C214" s="1" t="n">
        <v>-0.0258</v>
      </c>
      <c r="D214" s="1" t="n">
        <v>0.0058</v>
      </c>
      <c r="E214" s="1" t="n">
        <v>0.0026</v>
      </c>
      <c r="F214" s="1" t="n">
        <v>-0.02194</v>
      </c>
      <c r="G214" s="1" t="n">
        <v>-0.016378</v>
      </c>
      <c r="I214" s="1" t="n">
        <f aca="false">F214-$B214</f>
        <v>-0.02644</v>
      </c>
      <c r="J214" s="1" t="n">
        <f aca="false">G214-$B214</f>
        <v>-0.020878</v>
      </c>
    </row>
    <row r="215" customFormat="false" ht="15" hidden="false" customHeight="false" outlineLevel="0" collapsed="false">
      <c r="A215" s="7" t="n">
        <v>32051</v>
      </c>
      <c r="B215" s="1" t="n">
        <v>0.006</v>
      </c>
      <c r="C215" s="1" t="n">
        <v>-0.2319</v>
      </c>
      <c r="D215" s="1" t="n">
        <v>-0.0827</v>
      </c>
      <c r="E215" s="1" t="n">
        <v>0.0418</v>
      </c>
      <c r="F215" s="1" t="n">
        <v>-0.215795</v>
      </c>
      <c r="G215" s="1" t="n">
        <v>-0.25607</v>
      </c>
      <c r="I215" s="1" t="n">
        <f aca="false">F215-$B215</f>
        <v>-0.221795</v>
      </c>
      <c r="J215" s="1" t="n">
        <f aca="false">G215-$B215</f>
        <v>-0.26207</v>
      </c>
    </row>
    <row r="216" customFormat="false" ht="15" hidden="false" customHeight="false" outlineLevel="0" collapsed="false">
      <c r="A216" s="7" t="n">
        <v>32082</v>
      </c>
      <c r="B216" s="1" t="n">
        <v>0.0035</v>
      </c>
      <c r="C216" s="1" t="n">
        <v>-0.0776</v>
      </c>
      <c r="D216" s="1" t="n">
        <v>0.0268</v>
      </c>
      <c r="E216" s="1" t="n">
        <v>0.0314</v>
      </c>
      <c r="F216" s="1" t="n">
        <v>-0.081874</v>
      </c>
      <c r="G216" s="1" t="n">
        <v>-0.062283</v>
      </c>
      <c r="I216" s="1" t="n">
        <f aca="false">F216-$B216</f>
        <v>-0.085374</v>
      </c>
      <c r="J216" s="1" t="n">
        <f aca="false">G216-$B216</f>
        <v>-0.065783</v>
      </c>
    </row>
    <row r="217" customFormat="false" ht="15" hidden="false" customHeight="false" outlineLevel="0" collapsed="false">
      <c r="A217" s="7" t="n">
        <v>32112</v>
      </c>
      <c r="B217" s="1" t="n">
        <v>0.0039</v>
      </c>
      <c r="C217" s="1" t="n">
        <v>0.0682</v>
      </c>
      <c r="D217" s="1" t="n">
        <v>0.0003</v>
      </c>
      <c r="E217" s="1" t="n">
        <v>-0.0442</v>
      </c>
      <c r="F217" s="1" t="n">
        <v>0.073922</v>
      </c>
      <c r="G217" s="1" t="n">
        <v>0.094687</v>
      </c>
      <c r="I217" s="1" t="n">
        <f aca="false">F217-$B217</f>
        <v>0.070022</v>
      </c>
      <c r="J217" s="1" t="n">
        <f aca="false">G217-$B217</f>
        <v>0.090787</v>
      </c>
    </row>
    <row r="218" customFormat="false" ht="15" hidden="false" customHeight="false" outlineLevel="0" collapsed="false">
      <c r="A218" s="7" t="n">
        <v>32143</v>
      </c>
      <c r="B218" s="1" t="n">
        <v>0.0029</v>
      </c>
      <c r="C218" s="1" t="n">
        <v>0.0421</v>
      </c>
      <c r="D218" s="1" t="n">
        <v>-0.0075</v>
      </c>
      <c r="E218" s="1" t="n">
        <v>0.0493</v>
      </c>
      <c r="F218" s="1" t="n">
        <v>0.042713</v>
      </c>
      <c r="G218" s="1" t="n">
        <v>0.050075</v>
      </c>
      <c r="I218" s="1" t="n">
        <f aca="false">F218-$B218</f>
        <v>0.039813</v>
      </c>
      <c r="J218" s="1" t="n">
        <f aca="false">G218-$B218</f>
        <v>0.047175</v>
      </c>
    </row>
    <row r="219" customFormat="false" ht="15" hidden="false" customHeight="false" outlineLevel="0" collapsed="false">
      <c r="A219" s="7" t="n">
        <v>32174</v>
      </c>
      <c r="B219" s="1" t="n">
        <v>0.0046</v>
      </c>
      <c r="C219" s="1" t="n">
        <v>0.0477</v>
      </c>
      <c r="D219" s="1" t="n">
        <v>0.0333</v>
      </c>
      <c r="E219" s="1" t="n">
        <v>-0.0153</v>
      </c>
      <c r="F219" s="1" t="n">
        <v>0.047445</v>
      </c>
      <c r="G219" s="1" t="n">
        <v>0.075351</v>
      </c>
      <c r="I219" s="1" t="n">
        <f aca="false">F219-$B219</f>
        <v>0.042845</v>
      </c>
      <c r="J219" s="1" t="n">
        <f aca="false">G219-$B219</f>
        <v>0.070751</v>
      </c>
    </row>
    <row r="220" customFormat="false" ht="15" hidden="false" customHeight="false" outlineLevel="0" collapsed="false">
      <c r="A220" s="7" t="n">
        <v>32203</v>
      </c>
      <c r="B220" s="1" t="n">
        <v>0.0044</v>
      </c>
      <c r="C220" s="1" t="n">
        <v>-0.0226</v>
      </c>
      <c r="D220" s="1" t="n">
        <v>0.0601</v>
      </c>
      <c r="E220" s="1" t="n">
        <v>0.0086</v>
      </c>
      <c r="F220" s="1" t="n">
        <v>-0.030847</v>
      </c>
      <c r="G220" s="1" t="n">
        <v>-0.00763</v>
      </c>
      <c r="I220" s="1" t="n">
        <f aca="false">F220-$B220</f>
        <v>-0.035247</v>
      </c>
      <c r="J220" s="1" t="n">
        <f aca="false">G220-$B220</f>
        <v>-0.01203</v>
      </c>
    </row>
    <row r="221" customFormat="false" ht="15" hidden="false" customHeight="false" outlineLevel="0" collapsed="false">
      <c r="A221" s="7" t="n">
        <v>32234</v>
      </c>
      <c r="B221" s="1" t="n">
        <v>0.0046</v>
      </c>
      <c r="C221" s="1" t="n">
        <v>0.0057</v>
      </c>
      <c r="D221" s="1" t="n">
        <v>0.0091</v>
      </c>
      <c r="E221" s="1" t="n">
        <v>0.0151</v>
      </c>
      <c r="F221" s="1" t="n">
        <v>0.010516</v>
      </c>
      <c r="G221" s="1" t="n">
        <v>0.003409</v>
      </c>
      <c r="I221" s="1" t="n">
        <f aca="false">F221-$B221</f>
        <v>0.005916</v>
      </c>
      <c r="J221" s="1" t="n">
        <f aca="false">G221-$B221</f>
        <v>-0.001191</v>
      </c>
    </row>
    <row r="222" customFormat="false" ht="15" hidden="false" customHeight="false" outlineLevel="0" collapsed="false">
      <c r="A222" s="7" t="n">
        <v>32264</v>
      </c>
      <c r="B222" s="1" t="n">
        <v>0.0051</v>
      </c>
      <c r="C222" s="1" t="n">
        <v>-0.0027</v>
      </c>
      <c r="D222" s="1" t="n">
        <v>-0.0254</v>
      </c>
      <c r="E222" s="1" t="n">
        <v>0.0244</v>
      </c>
      <c r="F222" s="1" t="n">
        <v>0.008012</v>
      </c>
      <c r="G222" s="1" t="n">
        <v>0.004565</v>
      </c>
      <c r="I222" s="1" t="n">
        <f aca="false">F222-$B222</f>
        <v>0.002912</v>
      </c>
      <c r="J222" s="1" t="n">
        <f aca="false">G222-$B222</f>
        <v>-0.000535000000000001</v>
      </c>
    </row>
    <row r="223" customFormat="false" ht="15" hidden="false" customHeight="false" outlineLevel="0" collapsed="false">
      <c r="A223" s="7" t="n">
        <v>32295</v>
      </c>
      <c r="B223" s="1" t="n">
        <v>0.0049</v>
      </c>
      <c r="C223" s="1" t="n">
        <v>0.0478</v>
      </c>
      <c r="D223" s="1" t="n">
        <v>0.0202</v>
      </c>
      <c r="E223" s="1" t="n">
        <v>-0.0135</v>
      </c>
      <c r="F223" s="1" t="n">
        <v>0.047676</v>
      </c>
      <c r="G223" s="1" t="n">
        <v>0.060296</v>
      </c>
      <c r="I223" s="1" t="n">
        <f aca="false">F223-$B223</f>
        <v>0.042776</v>
      </c>
      <c r="J223" s="1" t="n">
        <f aca="false">G223-$B223</f>
        <v>0.055396</v>
      </c>
    </row>
    <row r="224" customFormat="false" ht="15" hidden="false" customHeight="false" outlineLevel="0" collapsed="false">
      <c r="A224" s="7" t="n">
        <v>32325</v>
      </c>
      <c r="B224" s="1" t="n">
        <v>0.0051</v>
      </c>
      <c r="C224" s="1" t="n">
        <v>-0.0125</v>
      </c>
      <c r="D224" s="1" t="n">
        <v>-0.0023</v>
      </c>
      <c r="E224" s="1" t="n">
        <v>0.0218</v>
      </c>
      <c r="F224" s="1" t="n">
        <v>-0.004458</v>
      </c>
      <c r="G224" s="1" t="n">
        <v>-0.010679</v>
      </c>
      <c r="I224" s="1" t="n">
        <f aca="false">F224-$B224</f>
        <v>-0.009558</v>
      </c>
      <c r="J224" s="1" t="n">
        <f aca="false">G224-$B224</f>
        <v>-0.015779</v>
      </c>
    </row>
    <row r="225" customFormat="false" ht="15" hidden="false" customHeight="false" outlineLevel="0" collapsed="false">
      <c r="A225" s="7" t="n">
        <v>32356</v>
      </c>
      <c r="B225" s="1" t="n">
        <v>0.0059</v>
      </c>
      <c r="C225" s="1" t="n">
        <v>-0.0331</v>
      </c>
      <c r="D225" s="1" t="n">
        <v>0.0007</v>
      </c>
      <c r="E225" s="1" t="n">
        <v>0.0214</v>
      </c>
      <c r="F225" s="1" t="n">
        <v>-0.032488</v>
      </c>
      <c r="G225" s="1" t="n">
        <v>-0.033321</v>
      </c>
      <c r="I225" s="1" t="n">
        <f aca="false">F225-$B225</f>
        <v>-0.038388</v>
      </c>
      <c r="J225" s="1" t="n">
        <f aca="false">G225-$B225</f>
        <v>-0.039221</v>
      </c>
    </row>
    <row r="226" customFormat="false" ht="15" hidden="false" customHeight="false" outlineLevel="0" collapsed="false">
      <c r="A226" s="7" t="n">
        <v>32387</v>
      </c>
      <c r="B226" s="1" t="n">
        <v>0.0062</v>
      </c>
      <c r="C226" s="1" t="n">
        <v>0.0331</v>
      </c>
      <c r="D226" s="1" t="n">
        <v>-0.0134</v>
      </c>
      <c r="E226" s="1" t="n">
        <v>-0.0075</v>
      </c>
      <c r="F226" s="1" t="n">
        <v>0.042739</v>
      </c>
      <c r="G226" s="1" t="n">
        <v>0.041666</v>
      </c>
      <c r="I226" s="1" t="n">
        <f aca="false">F226-$B226</f>
        <v>0.036539</v>
      </c>
      <c r="J226" s="1" t="n">
        <f aca="false">G226-$B226</f>
        <v>0.035466</v>
      </c>
    </row>
    <row r="227" customFormat="false" ht="15" hidden="false" customHeight="false" outlineLevel="0" collapsed="false">
      <c r="A227" s="7" t="n">
        <v>32417</v>
      </c>
      <c r="B227" s="1" t="n">
        <v>0.0061</v>
      </c>
      <c r="C227" s="1" t="n">
        <v>0.0116</v>
      </c>
      <c r="D227" s="1" t="n">
        <v>-0.0292</v>
      </c>
      <c r="E227" s="1" t="n">
        <v>0.0203</v>
      </c>
      <c r="F227" s="1" t="n">
        <v>0.026891</v>
      </c>
      <c r="G227" s="1" t="n">
        <v>0.013806</v>
      </c>
      <c r="I227" s="1" t="n">
        <f aca="false">F227-$B227</f>
        <v>0.020791</v>
      </c>
      <c r="J227" s="1" t="n">
        <f aca="false">G227-$B227</f>
        <v>0.007706</v>
      </c>
    </row>
    <row r="228" customFormat="false" ht="15" hidden="false" customHeight="false" outlineLevel="0" collapsed="false">
      <c r="A228" s="7" t="n">
        <v>32448</v>
      </c>
      <c r="B228" s="1" t="n">
        <v>0.0057</v>
      </c>
      <c r="C228" s="1" t="n">
        <v>-0.0227</v>
      </c>
      <c r="D228" s="1" t="n">
        <v>-0.0164</v>
      </c>
      <c r="E228" s="1" t="n">
        <v>0.0147</v>
      </c>
      <c r="F228" s="1" t="n">
        <v>-0.014355</v>
      </c>
      <c r="G228" s="1" t="n">
        <v>-0.022981</v>
      </c>
      <c r="I228" s="1" t="n">
        <f aca="false">F228-$B228</f>
        <v>-0.020055</v>
      </c>
      <c r="J228" s="1" t="n">
        <f aca="false">G228-$B228</f>
        <v>-0.028681</v>
      </c>
    </row>
    <row r="229" customFormat="false" ht="15" hidden="false" customHeight="false" outlineLevel="0" collapsed="false">
      <c r="A229" s="7" t="n">
        <v>32478</v>
      </c>
      <c r="B229" s="1" t="n">
        <v>0.0063</v>
      </c>
      <c r="C229" s="1" t="n">
        <v>0.0148</v>
      </c>
      <c r="D229" s="1" t="n">
        <v>0.0189</v>
      </c>
      <c r="E229" s="1" t="n">
        <v>-0.0183</v>
      </c>
      <c r="F229" s="1" t="n">
        <v>0.018553</v>
      </c>
      <c r="G229" s="1" t="n">
        <v>0.027689</v>
      </c>
      <c r="I229" s="1" t="n">
        <f aca="false">F229-$B229</f>
        <v>0.012253</v>
      </c>
      <c r="J229" s="1" t="n">
        <f aca="false">G229-$B229</f>
        <v>0.021389</v>
      </c>
    </row>
    <row r="230" customFormat="false" ht="15" hidden="false" customHeight="false" outlineLevel="0" collapsed="false">
      <c r="A230" s="7" t="n">
        <v>32509</v>
      </c>
      <c r="B230" s="1" t="n">
        <v>0.0055</v>
      </c>
      <c r="C230" s="1" t="n">
        <v>0.0607</v>
      </c>
      <c r="D230" s="1" t="n">
        <v>-0.0219</v>
      </c>
      <c r="E230" s="1" t="n">
        <v>0.0061</v>
      </c>
      <c r="F230" s="1" t="n">
        <v>0.072303</v>
      </c>
      <c r="G230" s="1" t="n">
        <v>0.071117</v>
      </c>
      <c r="I230" s="1" t="n">
        <f aca="false">F230-$B230</f>
        <v>0.066803</v>
      </c>
      <c r="J230" s="1" t="n">
        <f aca="false">G230-$B230</f>
        <v>0.065617</v>
      </c>
    </row>
    <row r="231" customFormat="false" ht="15" hidden="false" customHeight="false" outlineLevel="0" collapsed="false">
      <c r="A231" s="7" t="n">
        <v>32540</v>
      </c>
      <c r="B231" s="1" t="n">
        <v>0.0061</v>
      </c>
      <c r="C231" s="1" t="n">
        <v>-0.0223</v>
      </c>
      <c r="D231" s="1" t="n">
        <v>0.0281</v>
      </c>
      <c r="E231" s="1" t="n">
        <v>0.0099</v>
      </c>
      <c r="F231" s="1" t="n">
        <v>-0.025031</v>
      </c>
      <c r="G231" s="1" t="n">
        <v>-0.011182</v>
      </c>
      <c r="I231" s="1" t="n">
        <f aca="false">F231-$B231</f>
        <v>-0.031131</v>
      </c>
      <c r="J231" s="1" t="n">
        <f aca="false">G231-$B231</f>
        <v>-0.017282</v>
      </c>
    </row>
    <row r="232" customFormat="false" ht="15" hidden="false" customHeight="false" outlineLevel="0" collapsed="false">
      <c r="A232" s="7" t="n">
        <v>32568</v>
      </c>
      <c r="B232" s="1" t="n">
        <v>0.0067</v>
      </c>
      <c r="C232" s="1" t="n">
        <v>0.0157</v>
      </c>
      <c r="D232" s="1" t="n">
        <v>0.0067</v>
      </c>
      <c r="E232" s="1" t="n">
        <v>0.0047</v>
      </c>
      <c r="F232" s="1" t="n">
        <v>0.023038</v>
      </c>
      <c r="G232" s="1" t="n">
        <v>0.020053</v>
      </c>
      <c r="I232" s="1" t="n">
        <f aca="false">F232-$B232</f>
        <v>0.016338</v>
      </c>
      <c r="J232" s="1" t="n">
        <f aca="false">G232-$B232</f>
        <v>0.013353</v>
      </c>
    </row>
    <row r="233" customFormat="false" ht="15" hidden="false" customHeight="false" outlineLevel="0" collapsed="false">
      <c r="A233" s="7" t="n">
        <v>32599</v>
      </c>
      <c r="B233" s="1" t="n">
        <v>0.0067</v>
      </c>
      <c r="C233" s="1" t="n">
        <v>0.0435</v>
      </c>
      <c r="D233" s="1" t="n">
        <v>-0.0067</v>
      </c>
      <c r="E233" s="1" t="n">
        <v>-0.0148</v>
      </c>
      <c r="F233" s="1" t="n">
        <v>0.051707</v>
      </c>
      <c r="G233" s="1" t="n">
        <v>0.049637</v>
      </c>
      <c r="I233" s="1" t="n">
        <f aca="false">F233-$B233</f>
        <v>0.045007</v>
      </c>
      <c r="J233" s="1" t="n">
        <f aca="false">G233-$B233</f>
        <v>0.042937</v>
      </c>
    </row>
    <row r="234" customFormat="false" ht="15" hidden="false" customHeight="false" outlineLevel="0" collapsed="false">
      <c r="A234" s="7" t="n">
        <v>32629</v>
      </c>
      <c r="B234" s="1" t="n">
        <v>0.0079</v>
      </c>
      <c r="C234" s="1" t="n">
        <v>0.0328</v>
      </c>
      <c r="D234" s="1" t="n">
        <v>-0.0009</v>
      </c>
      <c r="E234" s="1" t="n">
        <v>-0.009</v>
      </c>
      <c r="F234" s="1" t="n">
        <v>0.041022</v>
      </c>
      <c r="G234" s="1" t="n">
        <v>0.047241</v>
      </c>
      <c r="I234" s="1" t="n">
        <f aca="false">F234-$B234</f>
        <v>0.033122</v>
      </c>
      <c r="J234" s="1" t="n">
        <f aca="false">G234-$B234</f>
        <v>0.039341</v>
      </c>
    </row>
    <row r="235" customFormat="false" ht="15" hidden="false" customHeight="false" outlineLevel="0" collapsed="false">
      <c r="A235" s="7" t="n">
        <v>32660</v>
      </c>
      <c r="B235" s="1" t="n">
        <v>0.0071</v>
      </c>
      <c r="C235" s="1" t="n">
        <v>-0.0133</v>
      </c>
      <c r="D235" s="1" t="n">
        <v>-0.0097</v>
      </c>
      <c r="E235" s="1" t="n">
        <v>0.0221</v>
      </c>
      <c r="F235" s="1" t="n">
        <v>-0.005611</v>
      </c>
      <c r="G235" s="1" t="n">
        <v>-0.00675</v>
      </c>
      <c r="I235" s="1" t="n">
        <f aca="false">F235-$B235</f>
        <v>-0.012711</v>
      </c>
      <c r="J235" s="1" t="n">
        <f aca="false">G235-$B235</f>
        <v>-0.01385</v>
      </c>
    </row>
    <row r="236" customFormat="false" ht="15" hidden="false" customHeight="false" outlineLevel="0" collapsed="false">
      <c r="A236" s="7" t="n">
        <v>32690</v>
      </c>
      <c r="B236" s="1" t="n">
        <v>0.007</v>
      </c>
      <c r="C236" s="1" t="n">
        <v>0.0718</v>
      </c>
      <c r="D236" s="1" t="n">
        <v>-0.0411</v>
      </c>
      <c r="E236" s="1" t="n">
        <v>-0.028</v>
      </c>
      <c r="F236" s="1" t="n">
        <v>0.090053</v>
      </c>
      <c r="G236" s="1" t="n">
        <v>0.082833</v>
      </c>
      <c r="I236" s="1" t="n">
        <f aca="false">F236-$B236</f>
        <v>0.083053</v>
      </c>
      <c r="J236" s="1" t="n">
        <f aca="false">G236-$B236</f>
        <v>0.075833</v>
      </c>
    </row>
    <row r="237" customFormat="false" ht="15" hidden="false" customHeight="false" outlineLevel="0" collapsed="false">
      <c r="A237" s="7" t="n">
        <v>32721</v>
      </c>
      <c r="B237" s="1" t="n">
        <v>0.0074</v>
      </c>
      <c r="C237" s="1" t="n">
        <v>0.0143</v>
      </c>
      <c r="D237" s="1" t="n">
        <v>0.0057</v>
      </c>
      <c r="E237" s="1" t="n">
        <v>0.0062</v>
      </c>
      <c r="F237" s="1" t="n">
        <v>0.019853</v>
      </c>
      <c r="G237" s="1" t="n">
        <v>0.029177</v>
      </c>
      <c r="I237" s="1" t="n">
        <f aca="false">F237-$B237</f>
        <v>0.012453</v>
      </c>
      <c r="J237" s="1" t="n">
        <f aca="false">G237-$B237</f>
        <v>0.021777</v>
      </c>
    </row>
    <row r="238" customFormat="false" ht="15" hidden="false" customHeight="false" outlineLevel="0" collapsed="false">
      <c r="A238" s="7" t="n">
        <v>32752</v>
      </c>
      <c r="B238" s="1" t="n">
        <v>0.0065</v>
      </c>
      <c r="C238" s="1" t="n">
        <v>-0.0076</v>
      </c>
      <c r="D238" s="1" t="n">
        <v>0.003</v>
      </c>
      <c r="E238" s="1" t="n">
        <v>-0.0127</v>
      </c>
      <c r="F238" s="1" t="n">
        <v>-0.004004</v>
      </c>
      <c r="G238" s="1" t="n">
        <v>-0.015646</v>
      </c>
      <c r="I238" s="1" t="n">
        <f aca="false">F238-$B238</f>
        <v>-0.010504</v>
      </c>
      <c r="J238" s="1" t="n">
        <f aca="false">G238-$B238</f>
        <v>-0.022146</v>
      </c>
    </row>
    <row r="239" customFormat="false" ht="15" hidden="false" customHeight="false" outlineLevel="0" collapsed="false">
      <c r="A239" s="7" t="n">
        <v>32782</v>
      </c>
      <c r="B239" s="1" t="n">
        <v>0.0068</v>
      </c>
      <c r="C239" s="1" t="n">
        <v>-0.0365</v>
      </c>
      <c r="D239" s="1" t="n">
        <v>-0.0324</v>
      </c>
      <c r="E239" s="1" t="n">
        <v>-0.0116</v>
      </c>
      <c r="F239" s="1" t="n">
        <v>-0.023639</v>
      </c>
      <c r="G239" s="1" t="n">
        <v>-0.046675</v>
      </c>
      <c r="I239" s="1" t="n">
        <f aca="false">F239-$B239</f>
        <v>-0.030439</v>
      </c>
      <c r="J239" s="1" t="n">
        <f aca="false">G239-$B239</f>
        <v>-0.053475</v>
      </c>
    </row>
    <row r="240" customFormat="false" ht="15" hidden="false" customHeight="false" outlineLevel="0" collapsed="false">
      <c r="A240" s="7" t="n">
        <v>32813</v>
      </c>
      <c r="B240" s="1" t="n">
        <v>0.0069</v>
      </c>
      <c r="C240" s="1" t="n">
        <v>0.0104</v>
      </c>
      <c r="D240" s="1" t="n">
        <v>-0.0119</v>
      </c>
      <c r="E240" s="1" t="n">
        <v>-0.0113</v>
      </c>
      <c r="F240" s="1" t="n">
        <v>0.020479</v>
      </c>
      <c r="G240" s="1" t="n">
        <v>0.012291</v>
      </c>
      <c r="I240" s="1" t="n">
        <f aca="false">F240-$B240</f>
        <v>0.013579</v>
      </c>
      <c r="J240" s="1" t="n">
        <f aca="false">G240-$B240</f>
        <v>0.005391</v>
      </c>
    </row>
    <row r="241" customFormat="false" ht="15" hidden="false" customHeight="false" outlineLevel="0" collapsed="false">
      <c r="A241" s="7" t="n">
        <v>32843</v>
      </c>
      <c r="B241" s="1" t="n">
        <v>0.0061</v>
      </c>
      <c r="C241" s="1" t="n">
        <v>0.0118</v>
      </c>
      <c r="D241" s="1" t="n">
        <v>-0.0237</v>
      </c>
      <c r="E241" s="1" t="n">
        <v>0.0015</v>
      </c>
      <c r="F241" s="1" t="n">
        <v>0.022657</v>
      </c>
      <c r="G241" s="1" t="n">
        <v>0.015265</v>
      </c>
      <c r="I241" s="1" t="n">
        <f aca="false">F241-$B241</f>
        <v>0.016557</v>
      </c>
      <c r="J241" s="1" t="n">
        <f aca="false">G241-$B241</f>
        <v>0.009165</v>
      </c>
    </row>
    <row r="242" customFormat="false" ht="15" hidden="false" customHeight="false" outlineLevel="0" collapsed="false">
      <c r="A242" s="7" t="n">
        <v>32874</v>
      </c>
      <c r="B242" s="1" t="n">
        <v>0.0057</v>
      </c>
      <c r="C242" s="1" t="n">
        <v>-0.078</v>
      </c>
      <c r="D242" s="1" t="n">
        <v>-0.0114</v>
      </c>
      <c r="E242" s="1" t="n">
        <v>0.0083</v>
      </c>
      <c r="F242" s="1" t="n">
        <v>-0.067661</v>
      </c>
      <c r="G242" s="1" t="n">
        <v>-0.073185</v>
      </c>
      <c r="I242" s="1" t="n">
        <f aca="false">F242-$B242</f>
        <v>-0.073361</v>
      </c>
      <c r="J242" s="1" t="n">
        <f aca="false">G242-$B242</f>
        <v>-0.078885</v>
      </c>
    </row>
    <row r="243" customFormat="false" ht="15" hidden="false" customHeight="false" outlineLevel="0" collapsed="false">
      <c r="A243" s="7" t="n">
        <v>32905</v>
      </c>
      <c r="B243" s="1" t="n">
        <v>0.0057</v>
      </c>
      <c r="C243" s="1" t="n">
        <v>0.0112</v>
      </c>
      <c r="D243" s="1" t="n">
        <v>0.0097</v>
      </c>
      <c r="E243" s="1" t="n">
        <v>0.0065</v>
      </c>
      <c r="F243" s="1" t="n">
        <v>0.013381</v>
      </c>
      <c r="G243" s="1" t="n">
        <v>0.014022</v>
      </c>
      <c r="I243" s="1" t="n">
        <f aca="false">F243-$B243</f>
        <v>0.007681</v>
      </c>
      <c r="J243" s="1" t="n">
        <f aca="false">G243-$B243</f>
        <v>0.008322</v>
      </c>
    </row>
    <row r="244" customFormat="false" ht="15" hidden="false" customHeight="false" outlineLevel="0" collapsed="false">
      <c r="A244" s="7" t="n">
        <v>32933</v>
      </c>
      <c r="B244" s="1" t="n">
        <v>0.0064</v>
      </c>
      <c r="C244" s="1" t="n">
        <v>0.0183</v>
      </c>
      <c r="D244" s="1" t="n">
        <v>0.0147</v>
      </c>
      <c r="E244" s="1" t="n">
        <v>-0.029</v>
      </c>
      <c r="F244" s="1" t="n">
        <v>0.026588</v>
      </c>
      <c r="G244" s="1" t="n">
        <v>0.031748</v>
      </c>
      <c r="I244" s="1" t="n">
        <f aca="false">F244-$B244</f>
        <v>0.020188</v>
      </c>
      <c r="J244" s="1" t="n">
        <f aca="false">G244-$B244</f>
        <v>0.025348</v>
      </c>
    </row>
    <row r="245" customFormat="false" ht="15" hidden="false" customHeight="false" outlineLevel="0" collapsed="false">
      <c r="A245" s="7" t="n">
        <v>32964</v>
      </c>
      <c r="B245" s="1" t="n">
        <v>0.0069</v>
      </c>
      <c r="C245" s="1" t="n">
        <v>-0.0336</v>
      </c>
      <c r="D245" s="1" t="n">
        <v>-0.0047</v>
      </c>
      <c r="E245" s="1" t="n">
        <v>-0.0257</v>
      </c>
      <c r="F245" s="1" t="n">
        <v>-0.024504</v>
      </c>
      <c r="G245" s="1" t="n">
        <v>-0.040596</v>
      </c>
      <c r="I245" s="1" t="n">
        <f aca="false">F245-$B245</f>
        <v>-0.031404</v>
      </c>
      <c r="J245" s="1" t="n">
        <f aca="false">G245-$B245</f>
        <v>-0.047496</v>
      </c>
    </row>
    <row r="246" customFormat="false" ht="15" hidden="false" customHeight="false" outlineLevel="0" collapsed="false">
      <c r="A246" s="7" t="n">
        <v>32994</v>
      </c>
      <c r="B246" s="1" t="n">
        <v>0.0068</v>
      </c>
      <c r="C246" s="1" t="n">
        <v>0.0843</v>
      </c>
      <c r="D246" s="1" t="n">
        <v>-0.0256</v>
      </c>
      <c r="E246" s="1" t="n">
        <v>-0.0389</v>
      </c>
      <c r="F246" s="1" t="n">
        <v>0.097419</v>
      </c>
      <c r="G246" s="1" t="n">
        <v>0.096223</v>
      </c>
      <c r="I246" s="1" t="n">
        <f aca="false">F246-$B246</f>
        <v>0.090619</v>
      </c>
      <c r="J246" s="1" t="n">
        <f aca="false">G246-$B246</f>
        <v>0.089423</v>
      </c>
    </row>
    <row r="247" customFormat="false" ht="15" hidden="false" customHeight="false" outlineLevel="0" collapsed="false">
      <c r="A247" s="7" t="n">
        <v>33025</v>
      </c>
      <c r="B247" s="1" t="n">
        <v>0.0063</v>
      </c>
      <c r="C247" s="1" t="n">
        <v>-0.0109</v>
      </c>
      <c r="D247" s="1" t="n">
        <v>0.0135</v>
      </c>
      <c r="E247" s="1" t="n">
        <v>-0.02</v>
      </c>
      <c r="F247" s="1" t="n">
        <v>-0.006754</v>
      </c>
      <c r="G247" s="1" t="n">
        <v>-0.014537</v>
      </c>
      <c r="I247" s="1" t="n">
        <f aca="false">F247-$B247</f>
        <v>-0.013054</v>
      </c>
      <c r="J247" s="1" t="n">
        <f aca="false">G247-$B247</f>
        <v>-0.020837</v>
      </c>
    </row>
    <row r="248" customFormat="false" ht="15" hidden="false" customHeight="false" outlineLevel="0" collapsed="false">
      <c r="A248" s="7" t="n">
        <v>33055</v>
      </c>
      <c r="B248" s="1" t="n">
        <v>0.0068</v>
      </c>
      <c r="C248" s="1" t="n">
        <v>-0.019</v>
      </c>
      <c r="D248" s="1" t="n">
        <v>-0.0308</v>
      </c>
      <c r="E248" s="1" t="n">
        <v>-0.0006</v>
      </c>
      <c r="F248" s="1" t="n">
        <v>-0.004454</v>
      </c>
      <c r="G248" s="1" t="n">
        <v>-0.024605</v>
      </c>
      <c r="I248" s="1" t="n">
        <f aca="false">F248-$B248</f>
        <v>-0.011254</v>
      </c>
      <c r="J248" s="1" t="n">
        <f aca="false">G248-$B248</f>
        <v>-0.031405</v>
      </c>
    </row>
    <row r="249" customFormat="false" ht="15" hidden="false" customHeight="false" outlineLevel="0" collapsed="false">
      <c r="A249" s="7" t="n">
        <v>33086</v>
      </c>
      <c r="B249" s="1" t="n">
        <v>0.0066</v>
      </c>
      <c r="C249" s="1" t="n">
        <v>-0.1012</v>
      </c>
      <c r="D249" s="1" t="n">
        <v>-0.035</v>
      </c>
      <c r="E249" s="1" t="n">
        <v>0.0156</v>
      </c>
      <c r="F249" s="1" t="n">
        <v>-0.090801</v>
      </c>
      <c r="G249" s="1" t="n">
        <v>-0.112374</v>
      </c>
      <c r="I249" s="1" t="n">
        <f aca="false">F249-$B249</f>
        <v>-0.097401</v>
      </c>
      <c r="J249" s="1" t="n">
        <f aca="false">G249-$B249</f>
        <v>-0.118974</v>
      </c>
    </row>
    <row r="250" customFormat="false" ht="15" hidden="false" customHeight="false" outlineLevel="0" collapsed="false">
      <c r="A250" s="7" t="n">
        <v>33117</v>
      </c>
      <c r="B250" s="1" t="n">
        <v>0.006</v>
      </c>
      <c r="C250" s="1" t="n">
        <v>-0.0611</v>
      </c>
      <c r="D250" s="1" t="n">
        <v>-0.0364</v>
      </c>
      <c r="E250" s="1" t="n">
        <v>0.0059</v>
      </c>
      <c r="F250" s="1" t="n">
        <v>-0.048959</v>
      </c>
      <c r="G250" s="1" t="n">
        <v>-0.073624</v>
      </c>
      <c r="I250" s="1" t="n">
        <f aca="false">F250-$B250</f>
        <v>-0.054959</v>
      </c>
      <c r="J250" s="1" t="n">
        <f aca="false">G250-$B250</f>
        <v>-0.079624</v>
      </c>
    </row>
    <row r="251" customFormat="false" ht="15" hidden="false" customHeight="false" outlineLevel="0" collapsed="false">
      <c r="A251" s="7" t="n">
        <v>33147</v>
      </c>
      <c r="B251" s="1" t="n">
        <v>0.0068</v>
      </c>
      <c r="C251" s="1" t="n">
        <v>-0.0192</v>
      </c>
      <c r="D251" s="1" t="n">
        <v>-0.0552</v>
      </c>
      <c r="E251" s="1" t="n">
        <v>0.0008</v>
      </c>
      <c r="F251" s="1" t="n">
        <v>-0.003597</v>
      </c>
      <c r="G251" s="1" t="n">
        <v>-0.036372</v>
      </c>
      <c r="I251" s="1" t="n">
        <f aca="false">F251-$B251</f>
        <v>-0.010397</v>
      </c>
      <c r="J251" s="1" t="n">
        <f aca="false">G251-$B251</f>
        <v>-0.043172</v>
      </c>
    </row>
    <row r="252" customFormat="false" ht="15" hidden="false" customHeight="false" outlineLevel="0" collapsed="false">
      <c r="A252" s="7" t="n">
        <v>33178</v>
      </c>
      <c r="B252" s="1" t="n">
        <v>0.0057</v>
      </c>
      <c r="C252" s="1" t="n">
        <v>0.0635</v>
      </c>
      <c r="D252" s="1" t="n">
        <v>0.0042</v>
      </c>
      <c r="E252" s="1" t="n">
        <v>-0.0297</v>
      </c>
      <c r="F252" s="1" t="n">
        <v>0.064561</v>
      </c>
      <c r="G252" s="1" t="n">
        <v>0.092115</v>
      </c>
      <c r="I252" s="1" t="n">
        <f aca="false">F252-$B252</f>
        <v>0.058861</v>
      </c>
      <c r="J252" s="1" t="n">
        <f aca="false">G252-$B252</f>
        <v>0.086415</v>
      </c>
    </row>
    <row r="253" customFormat="false" ht="15" hidden="false" customHeight="false" outlineLevel="0" collapsed="false">
      <c r="A253" s="7" t="n">
        <v>33208</v>
      </c>
      <c r="B253" s="1" t="n">
        <v>0.006</v>
      </c>
      <c r="C253" s="1" t="n">
        <v>0.0246</v>
      </c>
      <c r="D253" s="1" t="n">
        <v>0.0079</v>
      </c>
      <c r="E253" s="1" t="n">
        <v>-0.0157</v>
      </c>
      <c r="F253" s="1" t="n">
        <v>0.027987</v>
      </c>
      <c r="G253" s="1" t="n">
        <v>0.041912</v>
      </c>
      <c r="I253" s="1" t="n">
        <f aca="false">F253-$B253</f>
        <v>0.021987</v>
      </c>
      <c r="J253" s="1" t="n">
        <f aca="false">G253-$B253</f>
        <v>0.035912</v>
      </c>
    </row>
    <row r="254" customFormat="false" ht="15" hidden="false" customHeight="false" outlineLevel="0" collapsed="false">
      <c r="A254" s="7" t="n">
        <v>33239</v>
      </c>
      <c r="B254" s="1" t="n">
        <v>0.0052</v>
      </c>
      <c r="C254" s="1" t="n">
        <v>0.0469</v>
      </c>
      <c r="D254" s="1" t="n">
        <v>0.0378</v>
      </c>
      <c r="E254" s="1" t="n">
        <v>-0.0148</v>
      </c>
      <c r="F254" s="1" t="n">
        <v>0.045001</v>
      </c>
      <c r="G254" s="1" t="n">
        <v>0.082065</v>
      </c>
      <c r="I254" s="1" t="n">
        <f aca="false">F254-$B254</f>
        <v>0.039801</v>
      </c>
      <c r="J254" s="1" t="n">
        <f aca="false">G254-$B254</f>
        <v>0.076865</v>
      </c>
    </row>
    <row r="255" customFormat="false" ht="15" hidden="false" customHeight="false" outlineLevel="0" collapsed="false">
      <c r="A255" s="7" t="n">
        <v>33270</v>
      </c>
      <c r="B255" s="1" t="n">
        <v>0.0048</v>
      </c>
      <c r="C255" s="1" t="n">
        <v>0.0719</v>
      </c>
      <c r="D255" s="1" t="n">
        <v>0.0401</v>
      </c>
      <c r="E255" s="1" t="n">
        <v>-0.0062</v>
      </c>
      <c r="F255" s="1" t="n">
        <v>0.071565</v>
      </c>
      <c r="G255" s="1" t="n">
        <v>0.085194</v>
      </c>
      <c r="I255" s="1" t="n">
        <f aca="false">F255-$B255</f>
        <v>0.066765</v>
      </c>
      <c r="J255" s="1" t="n">
        <f aca="false">G255-$B255</f>
        <v>0.080394</v>
      </c>
    </row>
    <row r="256" customFormat="false" ht="15" hidden="false" customHeight="false" outlineLevel="0" collapsed="false">
      <c r="A256" s="7" t="n">
        <v>33298</v>
      </c>
      <c r="B256" s="1" t="n">
        <v>0.0044</v>
      </c>
      <c r="C256" s="1" t="n">
        <v>0.0266</v>
      </c>
      <c r="D256" s="1" t="n">
        <v>0.0388</v>
      </c>
      <c r="E256" s="1" t="n">
        <v>-0.013</v>
      </c>
      <c r="F256" s="1" t="n">
        <v>0.024355</v>
      </c>
      <c r="G256" s="1" t="n">
        <v>0.030853</v>
      </c>
      <c r="I256" s="1" t="n">
        <f aca="false">F256-$B256</f>
        <v>0.019955</v>
      </c>
      <c r="J256" s="1" t="n">
        <f aca="false">G256-$B256</f>
        <v>0.026453</v>
      </c>
    </row>
    <row r="257" customFormat="false" ht="15" hidden="false" customHeight="false" outlineLevel="0" collapsed="false">
      <c r="A257" s="7" t="n">
        <v>33329</v>
      </c>
      <c r="B257" s="1" t="n">
        <v>0.0053</v>
      </c>
      <c r="C257" s="1" t="n">
        <v>-0.0028</v>
      </c>
      <c r="D257" s="1" t="n">
        <v>0.005</v>
      </c>
      <c r="E257" s="1" t="n">
        <v>0.0149</v>
      </c>
      <c r="F257" s="1" t="n">
        <v>0.002268</v>
      </c>
      <c r="G257" s="1" t="n">
        <v>0.005046</v>
      </c>
      <c r="I257" s="1" t="n">
        <f aca="false">F257-$B257</f>
        <v>-0.003032</v>
      </c>
      <c r="J257" s="1" t="n">
        <f aca="false">G257-$B257</f>
        <v>-0.000254</v>
      </c>
    </row>
    <row r="258" customFormat="false" ht="15" hidden="false" customHeight="false" outlineLevel="0" collapsed="false">
      <c r="A258" s="7" t="n">
        <v>33359</v>
      </c>
      <c r="B258" s="1" t="n">
        <v>0.0047</v>
      </c>
      <c r="C258" s="1" t="n">
        <v>0.0366</v>
      </c>
      <c r="D258" s="1" t="n">
        <v>-0.0039</v>
      </c>
      <c r="E258" s="1" t="n">
        <v>-0.0052</v>
      </c>
      <c r="F258" s="1" t="n">
        <v>0.04293</v>
      </c>
      <c r="G258" s="1" t="n">
        <v>0.054462</v>
      </c>
      <c r="I258" s="1" t="n">
        <f aca="false">F258-$B258</f>
        <v>0.03823</v>
      </c>
      <c r="J258" s="1" t="n">
        <f aca="false">G258-$B258</f>
        <v>0.049762</v>
      </c>
    </row>
    <row r="259" customFormat="false" ht="15" hidden="false" customHeight="false" outlineLevel="0" collapsed="false">
      <c r="A259" s="7" t="n">
        <v>33390</v>
      </c>
      <c r="B259" s="1" t="n">
        <v>0.0042</v>
      </c>
      <c r="C259" s="1" t="n">
        <v>-0.0494</v>
      </c>
      <c r="D259" s="1" t="n">
        <v>0.0018</v>
      </c>
      <c r="E259" s="1" t="n">
        <v>0.0108</v>
      </c>
      <c r="F259" s="1" t="n">
        <v>-0.045357</v>
      </c>
      <c r="G259" s="1" t="n">
        <v>-0.049743</v>
      </c>
      <c r="I259" s="1" t="n">
        <f aca="false">F259-$B259</f>
        <v>-0.049557</v>
      </c>
      <c r="J259" s="1" t="n">
        <f aca="false">G259-$B259</f>
        <v>-0.053943</v>
      </c>
    </row>
    <row r="260" customFormat="false" ht="15" hidden="false" customHeight="false" outlineLevel="0" collapsed="false">
      <c r="A260" s="7" t="n">
        <v>33420</v>
      </c>
      <c r="B260" s="1" t="n">
        <v>0.0049</v>
      </c>
      <c r="C260" s="1" t="n">
        <v>0.0424</v>
      </c>
      <c r="D260" s="1" t="n">
        <v>-0.0097</v>
      </c>
      <c r="E260" s="1" t="n">
        <v>-0.013</v>
      </c>
      <c r="F260" s="1" t="n">
        <v>0.046526</v>
      </c>
      <c r="G260" s="1" t="n">
        <v>0.041944</v>
      </c>
      <c r="I260" s="1" t="n">
        <f aca="false">F260-$B260</f>
        <v>0.041626</v>
      </c>
      <c r="J260" s="1" t="n">
        <f aca="false">G260-$B260</f>
        <v>0.037044</v>
      </c>
    </row>
    <row r="261" customFormat="false" ht="15" hidden="false" customHeight="false" outlineLevel="0" collapsed="false">
      <c r="A261" s="7" t="n">
        <v>33451</v>
      </c>
      <c r="B261" s="1" t="n">
        <v>0.0046</v>
      </c>
      <c r="C261" s="1" t="n">
        <v>0.0232</v>
      </c>
      <c r="D261" s="1" t="n">
        <v>0.0158</v>
      </c>
      <c r="E261" s="1" t="n">
        <v>-0.0079</v>
      </c>
      <c r="F261" s="1" t="n">
        <v>0.023885</v>
      </c>
      <c r="G261" s="1" t="n">
        <v>0.022633</v>
      </c>
      <c r="I261" s="1" t="n">
        <f aca="false">F261-$B261</f>
        <v>0.019285</v>
      </c>
      <c r="J261" s="1" t="n">
        <f aca="false">G261-$B261</f>
        <v>0.018033</v>
      </c>
    </row>
    <row r="262" customFormat="false" ht="15" hidden="false" customHeight="false" outlineLevel="0" collapsed="false">
      <c r="A262" s="7" t="n">
        <v>33482</v>
      </c>
      <c r="B262" s="1" t="n">
        <v>0.0046</v>
      </c>
      <c r="C262" s="1" t="n">
        <v>-0.0159</v>
      </c>
      <c r="D262" s="1" t="n">
        <v>0.0168</v>
      </c>
      <c r="E262" s="1" t="n">
        <v>-0.0123</v>
      </c>
      <c r="F262" s="1" t="n">
        <v>-0.016861</v>
      </c>
      <c r="G262" s="1" t="n">
        <v>-0.019202</v>
      </c>
      <c r="I262" s="1" t="n">
        <f aca="false">F262-$B262</f>
        <v>-0.021461</v>
      </c>
      <c r="J262" s="1" t="n">
        <f aca="false">G262-$B262</f>
        <v>-0.023802</v>
      </c>
    </row>
    <row r="263" customFormat="false" ht="15" hidden="false" customHeight="false" outlineLevel="0" collapsed="false">
      <c r="A263" s="7" t="n">
        <v>33512</v>
      </c>
      <c r="B263" s="1" t="n">
        <v>0.0042</v>
      </c>
      <c r="C263" s="1" t="n">
        <v>0.0129</v>
      </c>
      <c r="D263" s="1" t="n">
        <v>0.0077</v>
      </c>
      <c r="E263" s="1" t="n">
        <v>-0.0043</v>
      </c>
      <c r="F263" s="1" t="n">
        <v>0.013458</v>
      </c>
      <c r="G263" s="1" t="n">
        <v>0.010791</v>
      </c>
      <c r="I263" s="1" t="n">
        <f aca="false">F263-$B263</f>
        <v>0.009258</v>
      </c>
      <c r="J263" s="1" t="n">
        <f aca="false">G263-$B263</f>
        <v>0.006591</v>
      </c>
    </row>
    <row r="264" customFormat="false" ht="15" hidden="false" customHeight="false" outlineLevel="0" collapsed="false">
      <c r="A264" s="7" t="n">
        <v>33543</v>
      </c>
      <c r="B264" s="1" t="n">
        <v>0.0039</v>
      </c>
      <c r="C264" s="1" t="n">
        <v>-0.042</v>
      </c>
      <c r="D264" s="1" t="n">
        <v>-0.0051</v>
      </c>
      <c r="E264" s="1" t="n">
        <v>-0.0177</v>
      </c>
      <c r="F264" s="1" t="n">
        <v>-0.040214</v>
      </c>
      <c r="G264" s="1" t="n">
        <v>-0.050809</v>
      </c>
      <c r="I264" s="1" t="n">
        <f aca="false">F264-$B264</f>
        <v>-0.044114</v>
      </c>
      <c r="J264" s="1" t="n">
        <f aca="false">G264-$B264</f>
        <v>-0.054709</v>
      </c>
    </row>
    <row r="265" customFormat="false" ht="15" hidden="false" customHeight="false" outlineLevel="0" collapsed="false">
      <c r="A265" s="7" t="n">
        <v>33573</v>
      </c>
      <c r="B265" s="1" t="n">
        <v>0.0038</v>
      </c>
      <c r="C265" s="1" t="n">
        <v>0.1085</v>
      </c>
      <c r="D265" s="1" t="n">
        <v>-0.0226</v>
      </c>
      <c r="E265" s="1" t="n">
        <v>-0.0423</v>
      </c>
      <c r="F265" s="1" t="n">
        <v>0.114089</v>
      </c>
      <c r="G265" s="1" t="n">
        <v>0.113619</v>
      </c>
      <c r="I265" s="1" t="n">
        <f aca="false">F265-$B265</f>
        <v>0.110289</v>
      </c>
      <c r="J265" s="1" t="n">
        <f aca="false">G265-$B265</f>
        <v>0.109819</v>
      </c>
    </row>
    <row r="266" customFormat="false" ht="15" hidden="false" customHeight="false" outlineLevel="0" collapsed="false">
      <c r="A266" s="7" t="n">
        <v>33604</v>
      </c>
      <c r="B266" s="1" t="n">
        <v>0.0034</v>
      </c>
      <c r="C266" s="1" t="n">
        <v>-0.0059</v>
      </c>
      <c r="D266" s="1" t="n">
        <v>0.0848</v>
      </c>
      <c r="E266" s="1" t="n">
        <v>0.0467</v>
      </c>
      <c r="F266" s="1" t="n">
        <v>-0.018348</v>
      </c>
      <c r="G266" s="1" t="n">
        <v>0.017853</v>
      </c>
      <c r="I266" s="1" t="n">
        <f aca="false">F266-$B266</f>
        <v>-0.021748</v>
      </c>
      <c r="J266" s="1" t="n">
        <f aca="false">G266-$B266</f>
        <v>0.014453</v>
      </c>
    </row>
    <row r="267" customFormat="false" ht="15" hidden="false" customHeight="false" outlineLevel="0" collapsed="false">
      <c r="A267" s="7" t="n">
        <v>33635</v>
      </c>
      <c r="B267" s="1" t="n">
        <v>0.0028</v>
      </c>
      <c r="C267" s="1" t="n">
        <v>0.0108</v>
      </c>
      <c r="D267" s="1" t="n">
        <v>0.0083</v>
      </c>
      <c r="E267" s="1" t="n">
        <v>0.0651</v>
      </c>
      <c r="F267" s="1" t="n">
        <v>0.012865</v>
      </c>
      <c r="G267" s="1" t="n">
        <v>0.030385</v>
      </c>
      <c r="I267" s="1" t="n">
        <f aca="false">F267-$B267</f>
        <v>0.010065</v>
      </c>
      <c r="J267" s="1" t="n">
        <f aca="false">G267-$B267</f>
        <v>0.027585</v>
      </c>
    </row>
    <row r="268" customFormat="false" ht="15" hidden="false" customHeight="false" outlineLevel="0" collapsed="false">
      <c r="A268" s="7" t="n">
        <v>33664</v>
      </c>
      <c r="B268" s="1" t="n">
        <v>0.0034</v>
      </c>
      <c r="C268" s="1" t="n">
        <v>-0.0265</v>
      </c>
      <c r="D268" s="1" t="n">
        <v>-0.0097</v>
      </c>
      <c r="E268" s="1" t="n">
        <v>0.0349</v>
      </c>
      <c r="F268" s="1" t="n">
        <v>-0.01947</v>
      </c>
      <c r="G268" s="1" t="n">
        <v>-0.020264</v>
      </c>
      <c r="I268" s="1" t="n">
        <f aca="false">F268-$B268</f>
        <v>-0.02287</v>
      </c>
      <c r="J268" s="1" t="n">
        <f aca="false">G268-$B268</f>
        <v>-0.023664</v>
      </c>
    </row>
    <row r="269" customFormat="false" ht="15" hidden="false" customHeight="false" outlineLevel="0" collapsed="false">
      <c r="A269" s="7" t="n">
        <v>33695</v>
      </c>
      <c r="B269" s="1" t="n">
        <v>0.0032</v>
      </c>
      <c r="C269" s="1" t="n">
        <v>0.0109</v>
      </c>
      <c r="D269" s="1" t="n">
        <v>-0.0612</v>
      </c>
      <c r="E269" s="1" t="n">
        <v>0.0436</v>
      </c>
      <c r="F269" s="1" t="n">
        <v>0.028614</v>
      </c>
      <c r="G269" s="1" t="n">
        <v>0.016597</v>
      </c>
      <c r="I269" s="1" t="n">
        <f aca="false">F269-$B269</f>
        <v>0.025414</v>
      </c>
      <c r="J269" s="1" t="n">
        <f aca="false">G269-$B269</f>
        <v>0.013397</v>
      </c>
    </row>
    <row r="270" customFormat="false" ht="15" hidden="false" customHeight="false" outlineLevel="0" collapsed="false">
      <c r="A270" s="7" t="n">
        <v>33725</v>
      </c>
      <c r="B270" s="1" t="n">
        <v>0.0028</v>
      </c>
      <c r="C270" s="1" t="n">
        <v>0.003</v>
      </c>
      <c r="D270" s="1" t="n">
        <v>0.0041</v>
      </c>
      <c r="E270" s="1" t="n">
        <v>0.0111</v>
      </c>
      <c r="F270" s="1" t="n">
        <v>0.00485</v>
      </c>
      <c r="G270" s="1" t="n">
        <v>0.00193</v>
      </c>
      <c r="I270" s="1" t="n">
        <f aca="false">F270-$B270</f>
        <v>0.00205</v>
      </c>
      <c r="J270" s="1" t="n">
        <f aca="false">G270-$B270</f>
        <v>-0.00087</v>
      </c>
    </row>
    <row r="271" customFormat="false" ht="15" hidden="false" customHeight="false" outlineLevel="0" collapsed="false">
      <c r="A271" s="7" t="n">
        <v>33756</v>
      </c>
      <c r="B271" s="1" t="n">
        <v>0.0032</v>
      </c>
      <c r="C271" s="1" t="n">
        <v>-0.0233</v>
      </c>
      <c r="D271" s="1" t="n">
        <v>-0.031</v>
      </c>
      <c r="E271" s="1" t="n">
        <v>0.0324</v>
      </c>
      <c r="F271" s="1" t="n">
        <v>-0.01503</v>
      </c>
      <c r="G271" s="1" t="n">
        <v>-0.020451</v>
      </c>
      <c r="I271" s="1" t="n">
        <f aca="false">F271-$B271</f>
        <v>-0.01823</v>
      </c>
      <c r="J271" s="1" t="n">
        <f aca="false">G271-$B271</f>
        <v>-0.023651</v>
      </c>
    </row>
    <row r="272" customFormat="false" ht="15" hidden="false" customHeight="false" outlineLevel="0" collapsed="false">
      <c r="A272" s="7" t="n">
        <v>33786</v>
      </c>
      <c r="B272" s="1" t="n">
        <v>0.0031</v>
      </c>
      <c r="C272" s="1" t="n">
        <v>0.0378</v>
      </c>
      <c r="D272" s="1" t="n">
        <v>-0.0045</v>
      </c>
      <c r="E272" s="1" t="n">
        <v>-0.0051</v>
      </c>
      <c r="F272" s="1" t="n">
        <v>0.040924</v>
      </c>
      <c r="G272" s="1" t="n">
        <v>0.04079</v>
      </c>
      <c r="I272" s="1" t="n">
        <f aca="false">F272-$B272</f>
        <v>0.037824</v>
      </c>
      <c r="J272" s="1" t="n">
        <f aca="false">G272-$B272</f>
        <v>0.03769</v>
      </c>
    </row>
    <row r="273" customFormat="false" ht="15" hidden="false" customHeight="false" outlineLevel="0" collapsed="false">
      <c r="A273" s="7" t="n">
        <v>33817</v>
      </c>
      <c r="B273" s="1" t="n">
        <v>0.0026</v>
      </c>
      <c r="C273" s="1" t="n">
        <v>-0.0238</v>
      </c>
      <c r="D273" s="1" t="n">
        <v>-0.001</v>
      </c>
      <c r="E273" s="1" t="n">
        <v>-0.0109</v>
      </c>
      <c r="F273" s="1" t="n">
        <v>-0.020615</v>
      </c>
      <c r="G273" s="1" t="n">
        <v>-0.027431</v>
      </c>
      <c r="I273" s="1" t="n">
        <f aca="false">F273-$B273</f>
        <v>-0.023215</v>
      </c>
      <c r="J273" s="1" t="n">
        <f aca="false">G273-$B273</f>
        <v>-0.030031</v>
      </c>
    </row>
    <row r="274" customFormat="false" ht="15" hidden="false" customHeight="false" outlineLevel="0" collapsed="false">
      <c r="A274" s="7" t="n">
        <v>33848</v>
      </c>
      <c r="B274" s="1" t="n">
        <v>0.0026</v>
      </c>
      <c r="C274" s="1" t="n">
        <v>0.0119</v>
      </c>
      <c r="D274" s="1" t="n">
        <v>0.0055</v>
      </c>
      <c r="E274" s="1" t="n">
        <v>-0.0019</v>
      </c>
      <c r="F274" s="1" t="n">
        <v>0.01134</v>
      </c>
      <c r="G274" s="1" t="n">
        <v>0.018991</v>
      </c>
      <c r="I274" s="1" t="n">
        <f aca="false">F274-$B274</f>
        <v>0.00874</v>
      </c>
      <c r="J274" s="1" t="n">
        <f aca="false">G274-$B274</f>
        <v>0.016391</v>
      </c>
    </row>
    <row r="275" customFormat="false" ht="15" hidden="false" customHeight="false" outlineLevel="0" collapsed="false">
      <c r="A275" s="7" t="n">
        <v>33878</v>
      </c>
      <c r="B275" s="1" t="n">
        <v>0.0023</v>
      </c>
      <c r="C275" s="1" t="n">
        <v>0.0102</v>
      </c>
      <c r="D275" s="1" t="n">
        <v>0.0211</v>
      </c>
      <c r="E275" s="1" t="n">
        <v>-0.0198</v>
      </c>
      <c r="F275" s="1" t="n">
        <v>0.004796</v>
      </c>
      <c r="G275" s="1" t="n">
        <v>0.020398</v>
      </c>
      <c r="I275" s="1" t="n">
        <f aca="false">F275-$B275</f>
        <v>0.002496</v>
      </c>
      <c r="J275" s="1" t="n">
        <f aca="false">G275-$B275</f>
        <v>0.018098</v>
      </c>
    </row>
    <row r="276" customFormat="false" ht="15" hidden="false" customHeight="false" outlineLevel="0" collapsed="false">
      <c r="A276" s="7" t="n">
        <v>33909</v>
      </c>
      <c r="B276" s="1" t="n">
        <v>0.0023</v>
      </c>
      <c r="C276" s="1" t="n">
        <v>0.0414</v>
      </c>
      <c r="D276" s="1" t="n">
        <v>0.0368</v>
      </c>
      <c r="E276" s="1" t="n">
        <v>-0.0152</v>
      </c>
      <c r="F276" s="1" t="n">
        <v>0.033794</v>
      </c>
      <c r="G276" s="1" t="n">
        <v>0.044229</v>
      </c>
      <c r="I276" s="1" t="n">
        <f aca="false">F276-$B276</f>
        <v>0.031494</v>
      </c>
      <c r="J276" s="1" t="n">
        <f aca="false">G276-$B276</f>
        <v>0.041929</v>
      </c>
    </row>
    <row r="277" customFormat="false" ht="15" hidden="false" customHeight="false" outlineLevel="0" collapsed="false">
      <c r="A277" s="7" t="n">
        <v>33939</v>
      </c>
      <c r="B277" s="1" t="n">
        <v>0.0028</v>
      </c>
      <c r="C277" s="1" t="n">
        <v>0.0153</v>
      </c>
      <c r="D277" s="1" t="n">
        <v>0.0165</v>
      </c>
      <c r="E277" s="1" t="n">
        <v>0.0264</v>
      </c>
      <c r="F277" s="1" t="n">
        <v>0.01338</v>
      </c>
      <c r="G277" s="1" t="n">
        <v>0.022532</v>
      </c>
      <c r="I277" s="1" t="n">
        <f aca="false">F277-$B277</f>
        <v>0.01058</v>
      </c>
      <c r="J277" s="1" t="n">
        <f aca="false">G277-$B277</f>
        <v>0.019732</v>
      </c>
    </row>
    <row r="278" customFormat="false" ht="15" hidden="false" customHeight="false" outlineLevel="0" collapsed="false">
      <c r="A278" s="7" t="n">
        <v>33970</v>
      </c>
      <c r="B278" s="1" t="n">
        <v>0.0023</v>
      </c>
      <c r="C278" s="1" t="n">
        <v>0.0093</v>
      </c>
      <c r="D278" s="1" t="n">
        <v>0.0189</v>
      </c>
      <c r="E278" s="1" t="n">
        <v>0.059</v>
      </c>
      <c r="F278" s="1" t="n">
        <v>0.007282</v>
      </c>
      <c r="G278" s="1" t="n">
        <v>0.022706</v>
      </c>
      <c r="I278" s="1" t="n">
        <f aca="false">F278-$B278</f>
        <v>0.004982</v>
      </c>
      <c r="J278" s="1" t="n">
        <f aca="false">G278-$B278</f>
        <v>0.020406</v>
      </c>
    </row>
    <row r="279" customFormat="false" ht="15" hidden="false" customHeight="false" outlineLevel="0" collapsed="false">
      <c r="A279" s="7" t="n">
        <v>34001</v>
      </c>
      <c r="B279" s="1" t="n">
        <v>0.0022</v>
      </c>
      <c r="C279" s="1" t="n">
        <v>0.0012</v>
      </c>
      <c r="D279" s="1" t="n">
        <v>-0.0339</v>
      </c>
      <c r="E279" s="1" t="n">
        <v>0.0648</v>
      </c>
      <c r="F279" s="1" t="n">
        <v>0.013526</v>
      </c>
      <c r="G279" s="1" t="n">
        <v>0.010887</v>
      </c>
      <c r="I279" s="1" t="n">
        <f aca="false">F279-$B279</f>
        <v>0.011326</v>
      </c>
      <c r="J279" s="1" t="n">
        <f aca="false">G279-$B279</f>
        <v>0.008687</v>
      </c>
    </row>
    <row r="280" customFormat="false" ht="15" hidden="false" customHeight="false" outlineLevel="0" collapsed="false">
      <c r="A280" s="7" t="n">
        <v>34029</v>
      </c>
      <c r="B280" s="1" t="n">
        <v>0.0025</v>
      </c>
      <c r="C280" s="1" t="n">
        <v>0.0232</v>
      </c>
      <c r="D280" s="1" t="n">
        <v>0.0029</v>
      </c>
      <c r="E280" s="1" t="n">
        <v>0.0126</v>
      </c>
      <c r="F280" s="1" t="n">
        <v>0.021202</v>
      </c>
      <c r="G280" s="1" t="n">
        <v>0.027451</v>
      </c>
      <c r="I280" s="1" t="n">
        <f aca="false">F280-$B280</f>
        <v>0.018702</v>
      </c>
      <c r="J280" s="1" t="n">
        <f aca="false">G280-$B280</f>
        <v>0.024951</v>
      </c>
    </row>
    <row r="281" customFormat="false" ht="15" hidden="false" customHeight="false" outlineLevel="0" collapsed="false">
      <c r="A281" s="7" t="n">
        <v>34060</v>
      </c>
      <c r="B281" s="1" t="n">
        <v>0.0024</v>
      </c>
      <c r="C281" s="1" t="n">
        <v>-0.0305</v>
      </c>
      <c r="D281" s="1" t="n">
        <v>-0.0062</v>
      </c>
      <c r="E281" s="1" t="n">
        <v>0.0255</v>
      </c>
      <c r="F281" s="1" t="n">
        <v>-0.024519</v>
      </c>
      <c r="G281" s="1" t="n">
        <v>-0.021945</v>
      </c>
      <c r="I281" s="1" t="n">
        <f aca="false">F281-$B281</f>
        <v>-0.026919</v>
      </c>
      <c r="J281" s="1" t="n">
        <f aca="false">G281-$B281</f>
        <v>-0.024345</v>
      </c>
    </row>
    <row r="282" customFormat="false" ht="15" hidden="false" customHeight="false" outlineLevel="0" collapsed="false">
      <c r="A282" s="7" t="n">
        <v>34090</v>
      </c>
      <c r="B282" s="1" t="n">
        <v>0.0022</v>
      </c>
      <c r="C282" s="1" t="n">
        <v>0.0289</v>
      </c>
      <c r="D282" s="1" t="n">
        <v>0.0206</v>
      </c>
      <c r="E282" s="1" t="n">
        <v>-0.0346</v>
      </c>
      <c r="F282" s="1" t="n">
        <v>0.026259</v>
      </c>
      <c r="G282" s="1" t="n">
        <v>0.03163</v>
      </c>
      <c r="I282" s="1" t="n">
        <f aca="false">F282-$B282</f>
        <v>0.024059</v>
      </c>
      <c r="J282" s="1" t="n">
        <f aca="false">G282-$B282</f>
        <v>0.02943</v>
      </c>
    </row>
    <row r="283" customFormat="false" ht="15" hidden="false" customHeight="false" outlineLevel="0" collapsed="false">
      <c r="A283" s="7" t="n">
        <v>34121</v>
      </c>
      <c r="B283" s="1" t="n">
        <v>0.0025</v>
      </c>
      <c r="C283" s="1" t="n">
        <v>0.003</v>
      </c>
      <c r="D283" s="1" t="n">
        <v>-0.003</v>
      </c>
      <c r="E283" s="1" t="n">
        <v>0.0264</v>
      </c>
      <c r="F283" s="1" t="n">
        <v>0.003466</v>
      </c>
      <c r="G283" s="1" t="n">
        <v>0.003477</v>
      </c>
      <c r="I283" s="1" t="n">
        <f aca="false">F283-$B283</f>
        <v>0.000966</v>
      </c>
      <c r="J283" s="1" t="n">
        <f aca="false">G283-$B283</f>
        <v>0.000977</v>
      </c>
    </row>
    <row r="284" customFormat="false" ht="15" hidden="false" customHeight="false" outlineLevel="0" collapsed="false">
      <c r="A284" s="7" t="n">
        <v>34151</v>
      </c>
      <c r="B284" s="1" t="n">
        <v>0.0024</v>
      </c>
      <c r="C284" s="1" t="n">
        <v>-0.0034</v>
      </c>
      <c r="D284" s="1" t="n">
        <v>0.0096</v>
      </c>
      <c r="E284" s="1" t="n">
        <v>0.0287</v>
      </c>
      <c r="F284" s="1" t="n">
        <v>-0.004593</v>
      </c>
      <c r="G284" s="1" t="n">
        <v>-0.000721</v>
      </c>
      <c r="I284" s="1" t="n">
        <f aca="false">F284-$B284</f>
        <v>-0.006993</v>
      </c>
      <c r="J284" s="1" t="n">
        <f aca="false">G284-$B284</f>
        <v>-0.003121</v>
      </c>
    </row>
    <row r="285" customFormat="false" ht="15" hidden="false" customHeight="false" outlineLevel="0" collapsed="false">
      <c r="A285" s="7" t="n">
        <v>34182</v>
      </c>
      <c r="B285" s="1" t="n">
        <v>0.0025</v>
      </c>
      <c r="C285" s="1" t="n">
        <v>0.0372</v>
      </c>
      <c r="D285" s="1" t="n">
        <v>0.0011</v>
      </c>
      <c r="E285" s="1" t="n">
        <v>0.0018</v>
      </c>
      <c r="F285" s="1" t="n">
        <v>0.037431</v>
      </c>
      <c r="G285" s="1" t="n">
        <v>0.040022</v>
      </c>
      <c r="I285" s="1" t="n">
        <f aca="false">F285-$B285</f>
        <v>0.034931</v>
      </c>
      <c r="J285" s="1" t="n">
        <f aca="false">G285-$B285</f>
        <v>0.037522</v>
      </c>
    </row>
    <row r="286" customFormat="false" ht="15" hidden="false" customHeight="false" outlineLevel="0" collapsed="false">
      <c r="A286" s="7" t="n">
        <v>34213</v>
      </c>
      <c r="B286" s="1" t="n">
        <v>0.0026</v>
      </c>
      <c r="C286" s="1" t="n">
        <v>-0.0012</v>
      </c>
      <c r="D286" s="1" t="n">
        <v>0.0309</v>
      </c>
      <c r="E286" s="1" t="n">
        <v>-0.0024</v>
      </c>
      <c r="F286" s="1" t="n">
        <v>-0.007582</v>
      </c>
      <c r="G286" s="1" t="n">
        <v>-0.006236</v>
      </c>
      <c r="I286" s="1" t="n">
        <f aca="false">F286-$B286</f>
        <v>-0.010182</v>
      </c>
      <c r="J286" s="1" t="n">
        <f aca="false">G286-$B286</f>
        <v>-0.008836</v>
      </c>
    </row>
    <row r="287" customFormat="false" ht="15" hidden="false" customHeight="false" outlineLevel="0" collapsed="false">
      <c r="A287" s="7" t="n">
        <v>34243</v>
      </c>
      <c r="B287" s="1" t="n">
        <v>0.0022</v>
      </c>
      <c r="C287" s="1" t="n">
        <v>0.0142</v>
      </c>
      <c r="D287" s="1" t="n">
        <v>0.0199</v>
      </c>
      <c r="E287" s="1" t="n">
        <v>-0.0278</v>
      </c>
      <c r="F287" s="1" t="n">
        <v>0.019884</v>
      </c>
      <c r="G287" s="1" t="n">
        <v>0.019667</v>
      </c>
      <c r="I287" s="1" t="n">
        <f aca="false">F287-$B287</f>
        <v>0.017684</v>
      </c>
      <c r="J287" s="1" t="n">
        <f aca="false">G287-$B287</f>
        <v>0.017467</v>
      </c>
    </row>
    <row r="288" customFormat="false" ht="15" hidden="false" customHeight="false" outlineLevel="0" collapsed="false">
      <c r="A288" s="7" t="n">
        <v>34274</v>
      </c>
      <c r="B288" s="1" t="n">
        <v>0.0025</v>
      </c>
      <c r="C288" s="1" t="n">
        <v>-0.0187</v>
      </c>
      <c r="D288" s="1" t="n">
        <v>-0.0127</v>
      </c>
      <c r="E288" s="1" t="n">
        <v>-0.0078</v>
      </c>
      <c r="F288" s="1" t="n">
        <v>-0.008655</v>
      </c>
      <c r="G288" s="1" t="n">
        <v>-0.00857</v>
      </c>
      <c r="I288" s="1" t="n">
        <f aca="false">F288-$B288</f>
        <v>-0.011155</v>
      </c>
      <c r="J288" s="1" t="n">
        <f aca="false">G288-$B288</f>
        <v>-0.01107</v>
      </c>
    </row>
    <row r="289" customFormat="false" ht="15" hidden="false" customHeight="false" outlineLevel="0" collapsed="false">
      <c r="A289" s="7" t="n">
        <v>34304</v>
      </c>
      <c r="B289" s="1" t="n">
        <v>0.0023</v>
      </c>
      <c r="C289" s="1" t="n">
        <v>0.0165</v>
      </c>
      <c r="D289" s="1" t="n">
        <v>0.0119</v>
      </c>
      <c r="E289" s="1" t="n">
        <v>0.0025</v>
      </c>
      <c r="F289" s="1" t="n">
        <v>0.012646</v>
      </c>
      <c r="G289" s="1" t="n">
        <v>0.023359</v>
      </c>
      <c r="I289" s="1" t="n">
        <f aca="false">F289-$B289</f>
        <v>0.010346</v>
      </c>
      <c r="J289" s="1" t="n">
        <f aca="false">G289-$B289</f>
        <v>0.021059</v>
      </c>
    </row>
    <row r="290" customFormat="false" ht="15" hidden="false" customHeight="false" outlineLevel="0" collapsed="false">
      <c r="A290" s="7" t="n">
        <v>34335</v>
      </c>
      <c r="B290" s="1" t="n">
        <v>0.0025</v>
      </c>
      <c r="C290" s="1" t="n">
        <v>0.0287</v>
      </c>
      <c r="D290" s="1" t="n">
        <v>0.0033</v>
      </c>
      <c r="E290" s="1" t="n">
        <v>0.011</v>
      </c>
      <c r="F290" s="1" t="n">
        <v>0.033429</v>
      </c>
      <c r="G290" s="1" t="n">
        <v>0.037019</v>
      </c>
      <c r="I290" s="1" t="n">
        <f aca="false">F290-$B290</f>
        <v>0.030929</v>
      </c>
      <c r="J290" s="1" t="n">
        <f aca="false">G290-$B290</f>
        <v>0.034519</v>
      </c>
    </row>
    <row r="291" customFormat="false" ht="15" hidden="false" customHeight="false" outlineLevel="0" collapsed="false">
      <c r="A291" s="7" t="n">
        <v>34366</v>
      </c>
      <c r="B291" s="1" t="n">
        <v>0.0021</v>
      </c>
      <c r="C291" s="1" t="n">
        <v>-0.0255</v>
      </c>
      <c r="D291" s="1" t="n">
        <v>0.0276</v>
      </c>
      <c r="E291" s="1" t="n">
        <v>-0.0152</v>
      </c>
      <c r="F291" s="1" t="n">
        <v>-0.027161</v>
      </c>
      <c r="G291" s="1" t="n">
        <v>-0.017379</v>
      </c>
      <c r="I291" s="1" t="n">
        <f aca="false">F291-$B291</f>
        <v>-0.029261</v>
      </c>
      <c r="J291" s="1" t="n">
        <f aca="false">G291-$B291</f>
        <v>-0.019479</v>
      </c>
    </row>
    <row r="292" customFormat="false" ht="15" hidden="false" customHeight="false" outlineLevel="0" collapsed="false">
      <c r="A292" s="7" t="n">
        <v>34394</v>
      </c>
      <c r="B292" s="1" t="n">
        <v>0.0027</v>
      </c>
      <c r="C292" s="1" t="n">
        <v>-0.0479</v>
      </c>
      <c r="D292" s="1" t="n">
        <v>-0.0108</v>
      </c>
      <c r="E292" s="1" t="n">
        <v>0.0167</v>
      </c>
      <c r="F292" s="1" t="n">
        <v>-0.043456</v>
      </c>
      <c r="G292" s="1" t="n">
        <v>-0.043719</v>
      </c>
      <c r="I292" s="1" t="n">
        <f aca="false">F292-$B292</f>
        <v>-0.046156</v>
      </c>
      <c r="J292" s="1" t="n">
        <f aca="false">G292-$B292</f>
        <v>-0.046419</v>
      </c>
    </row>
    <row r="293" customFormat="false" ht="15" hidden="false" customHeight="false" outlineLevel="0" collapsed="false">
      <c r="A293" s="7" t="n">
        <v>34425</v>
      </c>
      <c r="B293" s="1" t="n">
        <v>0.0027</v>
      </c>
      <c r="C293" s="1" t="n">
        <v>0.0068</v>
      </c>
      <c r="D293" s="1" t="n">
        <v>-0.0093</v>
      </c>
      <c r="E293" s="1" t="n">
        <v>0.0166</v>
      </c>
      <c r="F293" s="1" t="n">
        <v>0.012817</v>
      </c>
      <c r="G293" s="1" t="n">
        <v>0.004462</v>
      </c>
      <c r="I293" s="1" t="n">
        <f aca="false">F293-$B293</f>
        <v>0.010117</v>
      </c>
      <c r="J293" s="1" t="n">
        <f aca="false">G293-$B293</f>
        <v>0.001762</v>
      </c>
    </row>
    <row r="294" customFormat="false" ht="15" hidden="false" customHeight="false" outlineLevel="0" collapsed="false">
      <c r="A294" s="7" t="n">
        <v>34455</v>
      </c>
      <c r="B294" s="1" t="n">
        <v>0.0032</v>
      </c>
      <c r="C294" s="1" t="n">
        <v>0.0058</v>
      </c>
      <c r="D294" s="1" t="n">
        <v>-0.0209</v>
      </c>
      <c r="E294" s="1" t="n">
        <v>0.006</v>
      </c>
      <c r="F294" s="1" t="n">
        <v>0.016309</v>
      </c>
      <c r="G294" s="1" t="n">
        <v>0.012087</v>
      </c>
      <c r="I294" s="1" t="n">
        <f aca="false">F294-$B294</f>
        <v>0.013109</v>
      </c>
      <c r="J294" s="1" t="n">
        <f aca="false">G294-$B294</f>
        <v>0.008887</v>
      </c>
    </row>
    <row r="295" customFormat="false" ht="15" hidden="false" customHeight="false" outlineLevel="0" collapsed="false">
      <c r="A295" s="7" t="n">
        <v>34486</v>
      </c>
      <c r="B295" s="1" t="n">
        <v>0.0031</v>
      </c>
      <c r="C295" s="1" t="n">
        <v>-0.0304</v>
      </c>
      <c r="D295" s="1" t="n">
        <v>-0.0043</v>
      </c>
      <c r="E295" s="1" t="n">
        <v>0.0177</v>
      </c>
      <c r="F295" s="1" t="n">
        <v>-0.024762</v>
      </c>
      <c r="G295" s="1" t="n">
        <v>-0.021933</v>
      </c>
      <c r="I295" s="1" t="n">
        <f aca="false">F295-$B295</f>
        <v>-0.027862</v>
      </c>
      <c r="J295" s="1" t="n">
        <f aca="false">G295-$B295</f>
        <v>-0.025033</v>
      </c>
    </row>
    <row r="296" customFormat="false" ht="15" hidden="false" customHeight="false" outlineLevel="0" collapsed="false">
      <c r="A296" s="7" t="n">
        <v>34516</v>
      </c>
      <c r="B296" s="1" t="n">
        <v>0.0028</v>
      </c>
      <c r="C296" s="1" t="n">
        <v>0.0282</v>
      </c>
      <c r="D296" s="1" t="n">
        <v>-0.0181</v>
      </c>
      <c r="E296" s="1" t="n">
        <v>0.0061</v>
      </c>
      <c r="F296" s="1" t="n">
        <v>0.032714</v>
      </c>
      <c r="G296" s="1" t="n">
        <v>0.03375</v>
      </c>
      <c r="I296" s="1" t="n">
        <f aca="false">F296-$B296</f>
        <v>0.029914</v>
      </c>
      <c r="J296" s="1" t="n">
        <f aca="false">G296-$B296</f>
        <v>0.03095</v>
      </c>
    </row>
    <row r="297" customFormat="false" ht="15" hidden="false" customHeight="false" outlineLevel="0" collapsed="false">
      <c r="A297" s="7" t="n">
        <v>34547</v>
      </c>
      <c r="B297" s="1" t="n">
        <v>0.0037</v>
      </c>
      <c r="C297" s="1" t="n">
        <v>0.0402</v>
      </c>
      <c r="D297" s="1" t="n">
        <v>0.015</v>
      </c>
      <c r="E297" s="1" t="n">
        <v>-0.0255</v>
      </c>
      <c r="F297" s="1" t="n">
        <v>0.041341</v>
      </c>
      <c r="G297" s="1" t="n">
        <v>0.052232</v>
      </c>
      <c r="I297" s="1" t="n">
        <f aca="false">F297-$B297</f>
        <v>0.037641</v>
      </c>
      <c r="J297" s="1" t="n">
        <f aca="false">G297-$B297</f>
        <v>0.048532</v>
      </c>
    </row>
    <row r="298" customFormat="false" ht="15" hidden="false" customHeight="false" outlineLevel="0" collapsed="false">
      <c r="A298" s="7" t="n">
        <v>34578</v>
      </c>
      <c r="B298" s="1" t="n">
        <v>0.0037</v>
      </c>
      <c r="C298" s="1" t="n">
        <v>-0.0228</v>
      </c>
      <c r="D298" s="1" t="n">
        <v>0.0304</v>
      </c>
      <c r="E298" s="1" t="n">
        <v>-0.0181</v>
      </c>
      <c r="F298" s="1" t="n">
        <v>-0.02394</v>
      </c>
      <c r="G298" s="1" t="n">
        <v>-0.026</v>
      </c>
      <c r="I298" s="1" t="n">
        <f aca="false">F298-$B298</f>
        <v>-0.02764</v>
      </c>
      <c r="J298" s="1" t="n">
        <f aca="false">G298-$B298</f>
        <v>-0.0297</v>
      </c>
    </row>
    <row r="299" customFormat="false" ht="15" hidden="false" customHeight="false" outlineLevel="0" collapsed="false">
      <c r="A299" s="7" t="n">
        <v>34608</v>
      </c>
      <c r="B299" s="1" t="n">
        <v>0.0038</v>
      </c>
      <c r="C299" s="1" t="n">
        <v>0.0135</v>
      </c>
      <c r="D299" s="1" t="n">
        <v>-0.0216</v>
      </c>
      <c r="E299" s="1" t="n">
        <v>-0.0166</v>
      </c>
      <c r="F299" s="1" t="n">
        <v>0.022622</v>
      </c>
      <c r="G299" s="1" t="n">
        <v>0.012006</v>
      </c>
      <c r="I299" s="1" t="n">
        <f aca="false">F299-$B299</f>
        <v>0.018822</v>
      </c>
      <c r="J299" s="1" t="n">
        <f aca="false">G299-$B299</f>
        <v>0.008206</v>
      </c>
    </row>
    <row r="300" customFormat="false" ht="15" hidden="false" customHeight="false" outlineLevel="0" collapsed="false">
      <c r="A300" s="7" t="n">
        <v>34639</v>
      </c>
      <c r="B300" s="1" t="n">
        <v>0.0037</v>
      </c>
      <c r="C300" s="1" t="n">
        <v>-0.0403</v>
      </c>
      <c r="D300" s="1" t="n">
        <v>0.0028</v>
      </c>
      <c r="E300" s="1" t="n">
        <v>-0.0073</v>
      </c>
      <c r="F300" s="1" t="n">
        <v>-0.036248</v>
      </c>
      <c r="G300" s="1" t="n">
        <v>-0.043415</v>
      </c>
      <c r="I300" s="1" t="n">
        <f aca="false">F300-$B300</f>
        <v>-0.039948</v>
      </c>
      <c r="J300" s="1" t="n">
        <f aca="false">G300-$B300</f>
        <v>-0.047115</v>
      </c>
    </row>
    <row r="301" customFormat="false" ht="15" hidden="false" customHeight="false" outlineLevel="0" collapsed="false">
      <c r="A301" s="7" t="n">
        <v>34669</v>
      </c>
      <c r="B301" s="1" t="n">
        <v>0.0044</v>
      </c>
      <c r="C301" s="1" t="n">
        <v>0.0086</v>
      </c>
      <c r="D301" s="1" t="n">
        <v>0.0017</v>
      </c>
      <c r="E301" s="1" t="n">
        <v>-0.0009</v>
      </c>
      <c r="F301" s="1" t="n">
        <v>0.014955</v>
      </c>
      <c r="G301" s="1" t="n">
        <v>0.016548</v>
      </c>
      <c r="I301" s="1" t="n">
        <f aca="false">F301-$B301</f>
        <v>0.010555</v>
      </c>
      <c r="J301" s="1" t="n">
        <f aca="false">G301-$B301</f>
        <v>0.012148</v>
      </c>
    </row>
    <row r="302" customFormat="false" ht="15" hidden="false" customHeight="false" outlineLevel="0" collapsed="false">
      <c r="A302" s="7" t="n">
        <v>34700</v>
      </c>
      <c r="B302" s="1" t="n">
        <v>0.0042</v>
      </c>
      <c r="C302" s="1" t="n">
        <v>0.018</v>
      </c>
      <c r="D302" s="1" t="n">
        <v>-0.0351</v>
      </c>
      <c r="E302" s="1" t="n">
        <v>0.0259</v>
      </c>
      <c r="F302" s="1" t="n">
        <v>0.026</v>
      </c>
      <c r="G302" s="1" t="n">
        <v>0.021154</v>
      </c>
      <c r="I302" s="1" t="n">
        <f aca="false">F302-$B302</f>
        <v>0.0218</v>
      </c>
      <c r="J302" s="1" t="n">
        <f aca="false">G302-$B302</f>
        <v>0.016954</v>
      </c>
    </row>
    <row r="303" customFormat="false" ht="15" hidden="false" customHeight="false" outlineLevel="0" collapsed="false">
      <c r="A303" s="7" t="n">
        <v>34731</v>
      </c>
      <c r="B303" s="1" t="n">
        <v>0.004</v>
      </c>
      <c r="C303" s="1" t="n">
        <v>0.0363</v>
      </c>
      <c r="D303" s="1" t="n">
        <v>-0.0061</v>
      </c>
      <c r="E303" s="1" t="n">
        <v>0.0099</v>
      </c>
      <c r="F303" s="1" t="n">
        <v>0.039228</v>
      </c>
      <c r="G303" s="1" t="n">
        <v>0.044549</v>
      </c>
      <c r="I303" s="1" t="n">
        <f aca="false">F303-$B303</f>
        <v>0.035228</v>
      </c>
      <c r="J303" s="1" t="n">
        <f aca="false">G303-$B303</f>
        <v>0.040549</v>
      </c>
    </row>
    <row r="304" customFormat="false" ht="15" hidden="false" customHeight="false" outlineLevel="0" collapsed="false">
      <c r="A304" s="7" t="n">
        <v>34759</v>
      </c>
      <c r="B304" s="1" t="n">
        <v>0.0046</v>
      </c>
      <c r="C304" s="1" t="n">
        <v>0.0219</v>
      </c>
      <c r="D304" s="1" t="n">
        <v>-0.002</v>
      </c>
      <c r="E304" s="1" t="n">
        <v>-0.0213</v>
      </c>
      <c r="F304" s="1" t="n">
        <v>0.029334</v>
      </c>
      <c r="G304" s="1" t="n">
        <v>0.029457</v>
      </c>
      <c r="I304" s="1" t="n">
        <f aca="false">F304-$B304</f>
        <v>0.024734</v>
      </c>
      <c r="J304" s="1" t="n">
        <f aca="false">G304-$B304</f>
        <v>0.024857</v>
      </c>
    </row>
    <row r="305" customFormat="false" ht="15" hidden="false" customHeight="false" outlineLevel="0" collapsed="false">
      <c r="A305" s="7" t="n">
        <v>34790</v>
      </c>
      <c r="B305" s="1" t="n">
        <v>0.0044</v>
      </c>
      <c r="C305" s="1" t="n">
        <v>0.0211</v>
      </c>
      <c r="D305" s="1" t="n">
        <v>-0.0051</v>
      </c>
      <c r="E305" s="1" t="n">
        <v>0.0167</v>
      </c>
      <c r="F305" s="1" t="n">
        <v>0.029395</v>
      </c>
      <c r="G305" s="1" t="n">
        <v>0.0238</v>
      </c>
      <c r="I305" s="1" t="n">
        <f aca="false">F305-$B305</f>
        <v>0.024995</v>
      </c>
      <c r="J305" s="1" t="n">
        <f aca="false">G305-$B305</f>
        <v>0.0194</v>
      </c>
    </row>
    <row r="306" customFormat="false" ht="15" hidden="false" customHeight="false" outlineLevel="0" collapsed="false">
      <c r="A306" s="7" t="n">
        <v>34820</v>
      </c>
      <c r="B306" s="1" t="n">
        <v>0.0054</v>
      </c>
      <c r="C306" s="1" t="n">
        <v>0.029</v>
      </c>
      <c r="D306" s="1" t="n">
        <v>-0.0253</v>
      </c>
      <c r="E306" s="1" t="n">
        <v>0.0228</v>
      </c>
      <c r="F306" s="1" t="n">
        <v>0.039809</v>
      </c>
      <c r="G306" s="1" t="n">
        <v>0.035709</v>
      </c>
      <c r="I306" s="1" t="n">
        <f aca="false">F306-$B306</f>
        <v>0.034409</v>
      </c>
      <c r="J306" s="1" t="n">
        <f aca="false">G306-$B306</f>
        <v>0.030309</v>
      </c>
    </row>
    <row r="307" customFormat="false" ht="15" hidden="false" customHeight="false" outlineLevel="0" collapsed="false">
      <c r="A307" s="7" t="n">
        <v>34851</v>
      </c>
      <c r="B307" s="1" t="n">
        <v>0.0047</v>
      </c>
      <c r="C307" s="1" t="n">
        <v>0.0272</v>
      </c>
      <c r="D307" s="1" t="n">
        <v>0.0317</v>
      </c>
      <c r="E307" s="1" t="n">
        <v>-0.0254</v>
      </c>
      <c r="F307" s="1" t="n">
        <v>0.024155</v>
      </c>
      <c r="G307" s="1" t="n">
        <v>0.025803</v>
      </c>
      <c r="I307" s="1" t="n">
        <f aca="false">F307-$B307</f>
        <v>0.019455</v>
      </c>
      <c r="J307" s="1" t="n">
        <f aca="false">G307-$B307</f>
        <v>0.021103</v>
      </c>
    </row>
    <row r="308" customFormat="false" ht="15" hidden="false" customHeight="false" outlineLevel="0" collapsed="false">
      <c r="A308" s="7" t="n">
        <v>34881</v>
      </c>
      <c r="B308" s="1" t="n">
        <v>0.0045</v>
      </c>
      <c r="C308" s="1" t="n">
        <v>0.0371</v>
      </c>
      <c r="D308" s="1" t="n">
        <v>0.0209</v>
      </c>
      <c r="E308" s="1" t="n">
        <v>-0.0158</v>
      </c>
      <c r="F308" s="1" t="n">
        <v>0.033405</v>
      </c>
      <c r="G308" s="1" t="n">
        <v>0.033272</v>
      </c>
      <c r="I308" s="1" t="n">
        <f aca="false">F308-$B308</f>
        <v>0.028905</v>
      </c>
      <c r="J308" s="1" t="n">
        <f aca="false">G308-$B308</f>
        <v>0.028772</v>
      </c>
    </row>
    <row r="309" customFormat="false" ht="15" hidden="false" customHeight="false" outlineLevel="0" collapsed="false">
      <c r="A309" s="7" t="n">
        <v>34912</v>
      </c>
      <c r="B309" s="1" t="n">
        <v>0.0047</v>
      </c>
      <c r="C309" s="1" t="n">
        <v>0.0055</v>
      </c>
      <c r="D309" s="1" t="n">
        <v>0.0131</v>
      </c>
      <c r="E309" s="1" t="n">
        <v>0.0268</v>
      </c>
      <c r="F309" s="1" t="n">
        <v>0.003502</v>
      </c>
      <c r="G309" s="1" t="n">
        <v>0.00772</v>
      </c>
      <c r="I309" s="1" t="n">
        <f aca="false">F309-$B309</f>
        <v>-0.001198</v>
      </c>
      <c r="J309" s="1" t="n">
        <f aca="false">G309-$B309</f>
        <v>0.00302</v>
      </c>
    </row>
    <row r="310" customFormat="false" ht="15" hidden="false" customHeight="false" outlineLevel="0" collapsed="false">
      <c r="A310" s="7" t="n">
        <v>34943</v>
      </c>
      <c r="B310" s="1" t="n">
        <v>0.0043</v>
      </c>
      <c r="C310" s="1" t="n">
        <v>0.0336</v>
      </c>
      <c r="D310" s="1" t="n">
        <v>-0.0216</v>
      </c>
      <c r="E310" s="1" t="n">
        <v>-0.0011</v>
      </c>
      <c r="F310" s="1" t="n">
        <v>0.042102</v>
      </c>
      <c r="G310" s="1" t="n">
        <v>0.024753</v>
      </c>
      <c r="I310" s="1" t="n">
        <f aca="false">F310-$B310</f>
        <v>0.037802</v>
      </c>
      <c r="J310" s="1" t="n">
        <f aca="false">G310-$B310</f>
        <v>0.020453</v>
      </c>
    </row>
    <row r="311" customFormat="false" ht="15" hidden="false" customHeight="false" outlineLevel="0" collapsed="false">
      <c r="A311" s="7" t="n">
        <v>34973</v>
      </c>
      <c r="B311" s="1" t="n">
        <v>0.0047</v>
      </c>
      <c r="C311" s="1" t="n">
        <v>-0.0151</v>
      </c>
      <c r="D311" s="1" t="n">
        <v>-0.038</v>
      </c>
      <c r="E311" s="1" t="n">
        <v>-0.0049</v>
      </c>
      <c r="F311" s="1" t="n">
        <v>-0.003442</v>
      </c>
      <c r="G311" s="1" t="n">
        <v>-0.024119</v>
      </c>
      <c r="I311" s="1" t="n">
        <f aca="false">F311-$B311</f>
        <v>-0.008142</v>
      </c>
      <c r="J311" s="1" t="n">
        <f aca="false">G311-$B311</f>
        <v>-0.028819</v>
      </c>
    </row>
    <row r="312" customFormat="false" ht="15" hidden="false" customHeight="false" outlineLevel="0" collapsed="false">
      <c r="A312" s="7" t="n">
        <v>35004</v>
      </c>
      <c r="B312" s="1" t="n">
        <v>0.0042</v>
      </c>
      <c r="C312" s="1" t="n">
        <v>0.0396</v>
      </c>
      <c r="D312" s="1" t="n">
        <v>-0.0112</v>
      </c>
      <c r="E312" s="1" t="n">
        <v>0.0052</v>
      </c>
      <c r="F312" s="1" t="n">
        <v>0.044179</v>
      </c>
      <c r="G312" s="1" t="n">
        <v>0.050988</v>
      </c>
      <c r="I312" s="1" t="n">
        <f aca="false">F312-$B312</f>
        <v>0.039979</v>
      </c>
      <c r="J312" s="1" t="n">
        <f aca="false">G312-$B312</f>
        <v>0.046788</v>
      </c>
    </row>
    <row r="313" customFormat="false" ht="15" hidden="false" customHeight="false" outlineLevel="0" collapsed="false">
      <c r="A313" s="7" t="n">
        <v>35034</v>
      </c>
      <c r="B313" s="1" t="n">
        <v>0.0049</v>
      </c>
      <c r="C313" s="1" t="n">
        <v>0.0104</v>
      </c>
      <c r="D313" s="1" t="n">
        <v>0.0066</v>
      </c>
      <c r="E313" s="1" t="n">
        <v>0.0024</v>
      </c>
      <c r="F313" s="1" t="n">
        <v>0.017643</v>
      </c>
      <c r="G313" s="1" t="n">
        <v>0.014641</v>
      </c>
      <c r="I313" s="1" t="n">
        <f aca="false">F313-$B313</f>
        <v>0.012743</v>
      </c>
      <c r="J313" s="1" t="n">
        <f aca="false">G313-$B313</f>
        <v>0.009741</v>
      </c>
    </row>
    <row r="314" customFormat="false" ht="15" hidden="false" customHeight="false" outlineLevel="0" collapsed="false">
      <c r="A314" s="7" t="n">
        <v>35065</v>
      </c>
      <c r="B314" s="1" t="n">
        <v>0.0043</v>
      </c>
      <c r="C314" s="1" t="n">
        <v>0.0226</v>
      </c>
      <c r="D314" s="1" t="n">
        <v>-0.0283</v>
      </c>
      <c r="E314" s="1" t="n">
        <v>0.0046</v>
      </c>
      <c r="F314" s="1" t="n">
        <v>0.034861</v>
      </c>
      <c r="G314" s="1" t="n">
        <v>0.030677</v>
      </c>
      <c r="I314" s="1" t="n">
        <f aca="false">F314-$B314</f>
        <v>0.030561</v>
      </c>
      <c r="J314" s="1" t="n">
        <f aca="false">G314-$B314</f>
        <v>0.026377</v>
      </c>
    </row>
    <row r="315" customFormat="false" ht="15" hidden="false" customHeight="false" outlineLevel="0" collapsed="false">
      <c r="A315" s="7" t="n">
        <v>35096</v>
      </c>
      <c r="B315" s="1" t="n">
        <v>0.0039</v>
      </c>
      <c r="C315" s="1" t="n">
        <v>0.0133</v>
      </c>
      <c r="D315" s="1" t="n">
        <v>0.0179</v>
      </c>
      <c r="E315" s="1" t="n">
        <v>-0.0105</v>
      </c>
      <c r="F315" s="1" t="n">
        <v>0.010088</v>
      </c>
      <c r="G315" s="1" t="n">
        <v>0.012873</v>
      </c>
      <c r="I315" s="1" t="n">
        <f aca="false">F315-$B315</f>
        <v>0.006188</v>
      </c>
      <c r="J315" s="1" t="n">
        <f aca="false">G315-$B315</f>
        <v>0.008973</v>
      </c>
    </row>
    <row r="316" customFormat="false" ht="15" hidden="false" customHeight="false" outlineLevel="0" collapsed="false">
      <c r="A316" s="7" t="n">
        <v>35125</v>
      </c>
      <c r="B316" s="1" t="n">
        <v>0.0039</v>
      </c>
      <c r="C316" s="1" t="n">
        <v>0.0074</v>
      </c>
      <c r="D316" s="1" t="n">
        <v>0.0143</v>
      </c>
      <c r="E316" s="1" t="n">
        <v>0.0042</v>
      </c>
      <c r="F316" s="1" t="n">
        <v>0.009585</v>
      </c>
      <c r="G316" s="1" t="n">
        <v>0.019612</v>
      </c>
      <c r="I316" s="1" t="n">
        <f aca="false">F316-$B316</f>
        <v>0.005685</v>
      </c>
      <c r="J316" s="1" t="n">
        <f aca="false">G316-$B316</f>
        <v>0.015712</v>
      </c>
    </row>
    <row r="317" customFormat="false" ht="15" hidden="false" customHeight="false" outlineLevel="0" collapsed="false">
      <c r="A317" s="7" t="n">
        <v>35156</v>
      </c>
      <c r="B317" s="1" t="n">
        <v>0.0046</v>
      </c>
      <c r="C317" s="1" t="n">
        <v>0.0206</v>
      </c>
      <c r="D317" s="1" t="n">
        <v>0.052</v>
      </c>
      <c r="E317" s="1" t="n">
        <v>-0.0397</v>
      </c>
      <c r="F317" s="1" t="n">
        <v>0.015133</v>
      </c>
      <c r="G317" s="1" t="n">
        <v>0.02841</v>
      </c>
      <c r="I317" s="1" t="n">
        <f aca="false">F317-$B317</f>
        <v>0.010533</v>
      </c>
      <c r="J317" s="1" t="n">
        <f aca="false">G317-$B317</f>
        <v>0.02381</v>
      </c>
    </row>
    <row r="318" customFormat="false" ht="15" hidden="false" customHeight="false" outlineLevel="0" collapsed="false">
      <c r="A318" s="7" t="n">
        <v>35186</v>
      </c>
      <c r="B318" s="1" t="n">
        <v>0.0042</v>
      </c>
      <c r="C318" s="1" t="n">
        <v>0.0236</v>
      </c>
      <c r="D318" s="1" t="n">
        <v>0.032</v>
      </c>
      <c r="E318" s="1" t="n">
        <v>-0.009</v>
      </c>
      <c r="F318" s="1" t="n">
        <v>0.025258</v>
      </c>
      <c r="G318" s="1" t="n">
        <v>0.013102</v>
      </c>
      <c r="I318" s="1" t="n">
        <f aca="false">F318-$B318</f>
        <v>0.021058</v>
      </c>
      <c r="J318" s="1" t="n">
        <f aca="false">G318-$B318</f>
        <v>0.008902</v>
      </c>
    </row>
    <row r="319" customFormat="false" ht="15" hidden="false" customHeight="false" outlineLevel="0" collapsed="false">
      <c r="A319" s="7" t="n">
        <v>35217</v>
      </c>
      <c r="B319" s="1" t="n">
        <v>0.004</v>
      </c>
      <c r="C319" s="1" t="n">
        <v>-0.0113</v>
      </c>
      <c r="D319" s="1" t="n">
        <v>-0.04</v>
      </c>
      <c r="E319" s="1" t="n">
        <v>0.0233</v>
      </c>
      <c r="F319" s="1" t="n">
        <v>0.004128</v>
      </c>
      <c r="G319" s="1" t="n">
        <v>-0.009331</v>
      </c>
      <c r="I319" s="1" t="n">
        <f aca="false">F319-$B319</f>
        <v>0.000128</v>
      </c>
      <c r="J319" s="1" t="n">
        <f aca="false">G319-$B319</f>
        <v>-0.013331</v>
      </c>
    </row>
    <row r="320" customFormat="false" ht="15" hidden="false" customHeight="false" outlineLevel="0" collapsed="false">
      <c r="A320" s="7" t="n">
        <v>35247</v>
      </c>
      <c r="B320" s="1" t="n">
        <v>0.0045</v>
      </c>
      <c r="C320" s="1" t="n">
        <v>-0.0596</v>
      </c>
      <c r="D320" s="1" t="n">
        <v>-0.043</v>
      </c>
      <c r="E320" s="1" t="n">
        <v>0.0519</v>
      </c>
      <c r="F320" s="1" t="n">
        <v>-0.044444</v>
      </c>
      <c r="G320" s="1" t="n">
        <v>-0.055912</v>
      </c>
      <c r="I320" s="1" t="n">
        <f aca="false">F320-$B320</f>
        <v>-0.048944</v>
      </c>
      <c r="J320" s="1" t="n">
        <f aca="false">G320-$B320</f>
        <v>-0.060412</v>
      </c>
    </row>
    <row r="321" customFormat="false" ht="15" hidden="false" customHeight="false" outlineLevel="0" collapsed="false">
      <c r="A321" s="7" t="n">
        <v>35278</v>
      </c>
      <c r="B321" s="1" t="n">
        <v>0.0041</v>
      </c>
      <c r="C321" s="1" t="n">
        <v>0.0277</v>
      </c>
      <c r="D321" s="1" t="n">
        <v>0.0245</v>
      </c>
      <c r="E321" s="1" t="n">
        <v>-0.0082</v>
      </c>
      <c r="F321" s="1" t="n">
        <v>0.021928</v>
      </c>
      <c r="G321" s="1" t="n">
        <v>0.032975</v>
      </c>
      <c r="I321" s="1" t="n">
        <f aca="false">F321-$B321</f>
        <v>0.017828</v>
      </c>
      <c r="J321" s="1" t="n">
        <f aca="false">G321-$B321</f>
        <v>0.028875</v>
      </c>
    </row>
    <row r="322" customFormat="false" ht="15" hidden="false" customHeight="false" outlineLevel="0" collapsed="false">
      <c r="A322" s="7" t="n">
        <v>35309</v>
      </c>
      <c r="B322" s="1" t="n">
        <v>0.0044</v>
      </c>
      <c r="C322" s="1" t="n">
        <v>0.0501</v>
      </c>
      <c r="D322" s="1" t="n">
        <v>-0.0102</v>
      </c>
      <c r="E322" s="1" t="n">
        <v>-0.0274</v>
      </c>
      <c r="F322" s="1" t="n">
        <v>0.056035</v>
      </c>
      <c r="G322" s="1" t="n">
        <v>0.049854</v>
      </c>
      <c r="I322" s="1" t="n">
        <f aca="false">F322-$B322</f>
        <v>0.051635</v>
      </c>
      <c r="J322" s="1" t="n">
        <f aca="false">G322-$B322</f>
        <v>0.045454</v>
      </c>
    </row>
    <row r="323" customFormat="false" ht="15" hidden="false" customHeight="false" outlineLevel="0" collapsed="false">
      <c r="A323" s="7" t="n">
        <v>35339</v>
      </c>
      <c r="B323" s="1" t="n">
        <v>0.0042</v>
      </c>
      <c r="C323" s="1" t="n">
        <v>0.0087</v>
      </c>
      <c r="D323" s="1" t="n">
        <v>-0.0439</v>
      </c>
      <c r="E323" s="1" t="n">
        <v>0.0488</v>
      </c>
      <c r="F323" s="1" t="n">
        <v>0.026798</v>
      </c>
      <c r="G323" s="1" t="n">
        <v>0.013655</v>
      </c>
      <c r="I323" s="1" t="n">
        <f aca="false">F323-$B323</f>
        <v>0.022598</v>
      </c>
      <c r="J323" s="1" t="n">
        <f aca="false">G323-$B323</f>
        <v>0.009455</v>
      </c>
    </row>
    <row r="324" customFormat="false" ht="15" hidden="false" customHeight="false" outlineLevel="0" collapsed="false">
      <c r="A324" s="7" t="n">
        <v>35370</v>
      </c>
      <c r="B324" s="1" t="n">
        <v>0.0041</v>
      </c>
      <c r="C324" s="1" t="n">
        <v>0.0625</v>
      </c>
      <c r="D324" s="1" t="n">
        <v>-0.0404</v>
      </c>
      <c r="E324" s="1" t="n">
        <v>0.014</v>
      </c>
      <c r="F324" s="1" t="n">
        <v>0.076441</v>
      </c>
      <c r="G324" s="1" t="n">
        <v>0.070014</v>
      </c>
      <c r="I324" s="1" t="n">
        <f aca="false">F324-$B324</f>
        <v>0.072341</v>
      </c>
      <c r="J324" s="1" t="n">
        <f aca="false">G324-$B324</f>
        <v>0.065914</v>
      </c>
    </row>
    <row r="325" customFormat="false" ht="15" hidden="false" customHeight="false" outlineLevel="0" collapsed="false">
      <c r="A325" s="7" t="n">
        <v>35400</v>
      </c>
      <c r="B325" s="1" t="n">
        <v>0.0046</v>
      </c>
      <c r="C325" s="1" t="n">
        <v>-0.017</v>
      </c>
      <c r="D325" s="1" t="n">
        <v>0.0312</v>
      </c>
      <c r="E325" s="1" t="n">
        <v>0.0128</v>
      </c>
      <c r="F325" s="1" t="n">
        <v>-0.019798</v>
      </c>
      <c r="G325" s="1" t="n">
        <v>-0.016802</v>
      </c>
      <c r="I325" s="1" t="n">
        <f aca="false">F325-$B325</f>
        <v>-0.024398</v>
      </c>
      <c r="J325" s="1" t="n">
        <f aca="false">G325-$B325</f>
        <v>-0.021402</v>
      </c>
    </row>
    <row r="326" customFormat="false" ht="15" hidden="false" customHeight="false" outlineLevel="0" collapsed="false">
      <c r="A326" s="7" t="n">
        <v>35431</v>
      </c>
      <c r="B326" s="1" t="n">
        <v>0.0045</v>
      </c>
      <c r="C326" s="1" t="n">
        <v>0.0496</v>
      </c>
      <c r="D326" s="1" t="n">
        <v>-0.0193</v>
      </c>
      <c r="E326" s="1" t="n">
        <v>-0.0144</v>
      </c>
      <c r="F326" s="1" t="n">
        <v>0.062827</v>
      </c>
      <c r="G326" s="1" t="n">
        <v>0.039148</v>
      </c>
      <c r="I326" s="1" t="n">
        <f aca="false">F326-$B326</f>
        <v>0.058327</v>
      </c>
      <c r="J326" s="1" t="n">
        <f aca="false">G326-$B326</f>
        <v>0.034648</v>
      </c>
    </row>
    <row r="327" customFormat="false" ht="15" hidden="false" customHeight="false" outlineLevel="0" collapsed="false">
      <c r="A327" s="7" t="n">
        <v>35462</v>
      </c>
      <c r="B327" s="1" t="n">
        <v>0.0039</v>
      </c>
      <c r="C327" s="1" t="n">
        <v>-0.0048</v>
      </c>
      <c r="D327" s="1" t="n">
        <v>-0.0316</v>
      </c>
      <c r="E327" s="1" t="n">
        <v>0.0561</v>
      </c>
      <c r="F327" s="1" t="n">
        <v>0.007752</v>
      </c>
      <c r="G327" s="1" t="n">
        <v>0.013457</v>
      </c>
      <c r="I327" s="1" t="n">
        <f aca="false">F327-$B327</f>
        <v>0.003852</v>
      </c>
      <c r="J327" s="1" t="n">
        <f aca="false">G327-$B327</f>
        <v>0.009557</v>
      </c>
    </row>
    <row r="328" customFormat="false" ht="15" hidden="false" customHeight="false" outlineLevel="0" collapsed="false">
      <c r="A328" s="7" t="n">
        <v>35490</v>
      </c>
      <c r="B328" s="1" t="n">
        <v>0.0043</v>
      </c>
      <c r="C328" s="1" t="n">
        <v>-0.0502</v>
      </c>
      <c r="D328" s="1" t="n">
        <v>-0.0033</v>
      </c>
      <c r="E328" s="1" t="n">
        <v>0.0339</v>
      </c>
      <c r="F328" s="1" t="n">
        <v>-0.041688</v>
      </c>
      <c r="G328" s="1" t="n">
        <v>-0.035143</v>
      </c>
      <c r="I328" s="1" t="n">
        <f aca="false">F328-$B328</f>
        <v>-0.045988</v>
      </c>
      <c r="J328" s="1" t="n">
        <f aca="false">G328-$B328</f>
        <v>-0.039443</v>
      </c>
    </row>
    <row r="329" customFormat="false" ht="15" hidden="false" customHeight="false" outlineLevel="0" collapsed="false">
      <c r="A329" s="7" t="n">
        <v>35521</v>
      </c>
      <c r="B329" s="1" t="n">
        <v>0.0043</v>
      </c>
      <c r="C329" s="1" t="n">
        <v>0.0404</v>
      </c>
      <c r="D329" s="1" t="n">
        <v>-0.0574</v>
      </c>
      <c r="E329" s="1" t="n">
        <v>0</v>
      </c>
      <c r="F329" s="1" t="n">
        <v>0.060274</v>
      </c>
      <c r="G329" s="1" t="n">
        <v>0.032138</v>
      </c>
      <c r="I329" s="1" t="n">
        <f aca="false">F329-$B329</f>
        <v>0.055974</v>
      </c>
      <c r="J329" s="1" t="n">
        <f aca="false">G329-$B329</f>
        <v>0.027838</v>
      </c>
    </row>
    <row r="330" customFormat="false" ht="15" hidden="false" customHeight="false" outlineLevel="0" collapsed="false">
      <c r="A330" s="7" t="n">
        <v>35551</v>
      </c>
      <c r="B330" s="1" t="n">
        <v>0.0049</v>
      </c>
      <c r="C330" s="1" t="n">
        <v>0.0673</v>
      </c>
      <c r="D330" s="1" t="n">
        <v>0.0512</v>
      </c>
      <c r="E330" s="1" t="n">
        <v>-0.0411</v>
      </c>
      <c r="F330" s="1" t="n">
        <v>0.061401</v>
      </c>
      <c r="G330" s="1" t="n">
        <v>0.073897</v>
      </c>
      <c r="I330" s="1" t="n">
        <f aca="false">F330-$B330</f>
        <v>0.056501</v>
      </c>
      <c r="J330" s="1" t="n">
        <f aca="false">G330-$B330</f>
        <v>0.068997</v>
      </c>
    </row>
    <row r="331" customFormat="false" ht="15" hidden="false" customHeight="false" outlineLevel="0" collapsed="false">
      <c r="A331" s="7" t="n">
        <v>35582</v>
      </c>
      <c r="B331" s="1" t="n">
        <v>0.0037</v>
      </c>
      <c r="C331" s="1" t="n">
        <v>0.041</v>
      </c>
      <c r="D331" s="1" t="n">
        <v>0.0121</v>
      </c>
      <c r="E331" s="1" t="n">
        <v>0.0144</v>
      </c>
      <c r="F331" s="1" t="n">
        <v>0.044103</v>
      </c>
      <c r="G331" s="1" t="n">
        <v>0.03882</v>
      </c>
      <c r="I331" s="1" t="n">
        <f aca="false">F331-$B331</f>
        <v>0.040403</v>
      </c>
      <c r="J331" s="1" t="n">
        <f aca="false">G331-$B331</f>
        <v>0.03512</v>
      </c>
    </row>
    <row r="332" customFormat="false" ht="15" hidden="false" customHeight="false" outlineLevel="0" collapsed="false">
      <c r="A332" s="7" t="n">
        <v>35612</v>
      </c>
      <c r="B332" s="1" t="n">
        <v>0.0043</v>
      </c>
      <c r="C332" s="1" t="n">
        <v>0.0731</v>
      </c>
      <c r="D332" s="1" t="n">
        <v>-0.0273</v>
      </c>
      <c r="E332" s="1" t="n">
        <v>0.0013</v>
      </c>
      <c r="F332" s="1" t="n">
        <v>0.080388</v>
      </c>
      <c r="G332" s="1" t="n">
        <v>0.079766</v>
      </c>
      <c r="I332" s="1" t="n">
        <f aca="false">F332-$B332</f>
        <v>0.076088</v>
      </c>
      <c r="J332" s="1" t="n">
        <f aca="false">G332-$B332</f>
        <v>0.075466</v>
      </c>
    </row>
    <row r="333" customFormat="false" ht="15" hidden="false" customHeight="false" outlineLevel="0" collapsed="false">
      <c r="A333" s="7" t="n">
        <v>35643</v>
      </c>
      <c r="B333" s="1" t="n">
        <v>0.0041</v>
      </c>
      <c r="C333" s="1" t="n">
        <v>-0.041</v>
      </c>
      <c r="D333" s="1" t="n">
        <v>0.0715</v>
      </c>
      <c r="E333" s="1" t="n">
        <v>0.0113</v>
      </c>
      <c r="F333" s="1" t="n">
        <v>-0.054975</v>
      </c>
      <c r="G333" s="1" t="n">
        <v>-0.028008</v>
      </c>
      <c r="I333" s="1" t="n">
        <f aca="false">F333-$B333</f>
        <v>-0.059075</v>
      </c>
      <c r="J333" s="1" t="n">
        <f aca="false">G333-$B333</f>
        <v>-0.032108</v>
      </c>
    </row>
    <row r="334" customFormat="false" ht="15" hidden="false" customHeight="false" outlineLevel="0" collapsed="false">
      <c r="A334" s="7" t="n">
        <v>35674</v>
      </c>
      <c r="B334" s="1" t="n">
        <v>0.0044</v>
      </c>
      <c r="C334" s="1" t="n">
        <v>0.0534</v>
      </c>
      <c r="D334" s="1" t="n">
        <v>0.0254</v>
      </c>
      <c r="E334" s="1" t="n">
        <v>0.0024</v>
      </c>
      <c r="F334" s="1" t="n">
        <v>0.053886</v>
      </c>
      <c r="G334" s="1" t="n">
        <v>0.051665</v>
      </c>
      <c r="I334" s="1" t="n">
        <f aca="false">F334-$B334</f>
        <v>0.049486</v>
      </c>
      <c r="J334" s="1" t="n">
        <f aca="false">G334-$B334</f>
        <v>0.047265</v>
      </c>
    </row>
    <row r="335" customFormat="false" ht="15" hidden="false" customHeight="false" outlineLevel="0" collapsed="false">
      <c r="A335" s="7" t="n">
        <v>35704</v>
      </c>
      <c r="B335" s="1" t="n">
        <v>0.0042</v>
      </c>
      <c r="C335" s="1" t="n">
        <v>-0.038</v>
      </c>
      <c r="D335" s="1" t="n">
        <v>-0.0071</v>
      </c>
      <c r="E335" s="1" t="n">
        <v>0.0233</v>
      </c>
      <c r="F335" s="1" t="n">
        <v>-0.032605</v>
      </c>
      <c r="G335" s="1" t="n">
        <v>-0.043194</v>
      </c>
      <c r="I335" s="1" t="n">
        <f aca="false">F335-$B335</f>
        <v>-0.036805</v>
      </c>
      <c r="J335" s="1" t="n">
        <f aca="false">G335-$B335</f>
        <v>-0.047394</v>
      </c>
    </row>
    <row r="336" customFormat="false" ht="15" hidden="false" customHeight="false" outlineLevel="0" collapsed="false">
      <c r="A336" s="7" t="n">
        <v>35735</v>
      </c>
      <c r="B336" s="1" t="n">
        <v>0.0039</v>
      </c>
      <c r="C336" s="1" t="n">
        <v>0.0299</v>
      </c>
      <c r="D336" s="1" t="n">
        <v>-0.0511</v>
      </c>
      <c r="E336" s="1" t="n">
        <v>0.0122</v>
      </c>
      <c r="F336" s="1" t="n">
        <v>0.046321</v>
      </c>
      <c r="G336" s="1" t="n">
        <v>0.031342</v>
      </c>
      <c r="I336" s="1" t="n">
        <f aca="false">F336-$B336</f>
        <v>0.042421</v>
      </c>
      <c r="J336" s="1" t="n">
        <f aca="false">G336-$B336</f>
        <v>0.027442</v>
      </c>
    </row>
    <row r="337" customFormat="false" ht="15" hidden="false" customHeight="false" outlineLevel="0" collapsed="false">
      <c r="A337" s="7" t="n">
        <v>35765</v>
      </c>
      <c r="B337" s="1" t="n">
        <v>0.0048</v>
      </c>
      <c r="C337" s="1" t="n">
        <v>0.0133</v>
      </c>
      <c r="D337" s="1" t="n">
        <v>-0.0248</v>
      </c>
      <c r="E337" s="1" t="n">
        <v>0.0374</v>
      </c>
      <c r="F337" s="1" t="n">
        <v>0.017147</v>
      </c>
      <c r="G337" s="1" t="n">
        <v>0.015319</v>
      </c>
      <c r="I337" s="1" t="n">
        <f aca="false">F337-$B337</f>
        <v>0.012347</v>
      </c>
      <c r="J337" s="1" t="n">
        <f aca="false">G337-$B337</f>
        <v>0.010519</v>
      </c>
    </row>
    <row r="338" customFormat="false" ht="15" hidden="false" customHeight="false" outlineLevel="0" collapsed="false">
      <c r="A338" s="7" t="n">
        <v>35796</v>
      </c>
      <c r="B338" s="1" t="n">
        <v>0.0043</v>
      </c>
      <c r="C338" s="1" t="n">
        <v>0.0015</v>
      </c>
      <c r="D338" s="1" t="n">
        <v>-0.0101</v>
      </c>
      <c r="E338" s="1" t="n">
        <v>-0.0168</v>
      </c>
      <c r="F338" s="1" t="n">
        <v>0.011994</v>
      </c>
      <c r="G338" s="1" t="n">
        <v>-0.002326</v>
      </c>
      <c r="I338" s="1" t="n">
        <f aca="false">F338-$B338</f>
        <v>0.007694</v>
      </c>
      <c r="J338" s="1" t="n">
        <f aca="false">G338-$B338</f>
        <v>-0.006626</v>
      </c>
    </row>
    <row r="339" customFormat="false" ht="15" hidden="false" customHeight="false" outlineLevel="0" collapsed="false">
      <c r="A339" s="7" t="n">
        <v>35827</v>
      </c>
      <c r="B339" s="1" t="n">
        <v>0.0039</v>
      </c>
      <c r="C339" s="1" t="n">
        <v>0.0703</v>
      </c>
      <c r="D339" s="1" t="n">
        <v>0.0013</v>
      </c>
      <c r="E339" s="1" t="n">
        <v>-0.0093</v>
      </c>
      <c r="F339" s="1" t="n">
        <v>0.071956</v>
      </c>
      <c r="G339" s="1" t="n">
        <v>0.078865</v>
      </c>
      <c r="I339" s="1" t="n">
        <f aca="false">F339-$B339</f>
        <v>0.068056</v>
      </c>
      <c r="J339" s="1" t="n">
        <f aca="false">G339-$B339</f>
        <v>0.074965</v>
      </c>
    </row>
    <row r="340" customFormat="false" ht="15" hidden="false" customHeight="false" outlineLevel="0" collapsed="false">
      <c r="A340" s="7" t="n">
        <v>35855</v>
      </c>
      <c r="B340" s="1" t="n">
        <v>0.0039</v>
      </c>
      <c r="C340" s="1" t="n">
        <v>0.0476</v>
      </c>
      <c r="D340" s="1" t="n">
        <v>-0.0119</v>
      </c>
      <c r="E340" s="1" t="n">
        <v>0.0138</v>
      </c>
      <c r="F340" s="1" t="n">
        <v>0.051336</v>
      </c>
      <c r="G340" s="1" t="n">
        <v>0.050179</v>
      </c>
      <c r="I340" s="1" t="n">
        <f aca="false">F340-$B340</f>
        <v>0.047436</v>
      </c>
      <c r="J340" s="1" t="n">
        <f aca="false">G340-$B340</f>
        <v>0.046279</v>
      </c>
    </row>
    <row r="341" customFormat="false" ht="15" hidden="false" customHeight="false" outlineLevel="0" collapsed="false">
      <c r="A341" s="7" t="n">
        <v>35886</v>
      </c>
      <c r="B341" s="1" t="n">
        <v>0.0043</v>
      </c>
      <c r="C341" s="1" t="n">
        <v>0.0074</v>
      </c>
      <c r="D341" s="1" t="n">
        <v>0.0006</v>
      </c>
      <c r="E341" s="1" t="n">
        <v>0.0103</v>
      </c>
      <c r="F341" s="1" t="n">
        <v>0.011276</v>
      </c>
      <c r="G341" s="1" t="n">
        <v>0.004209</v>
      </c>
      <c r="I341" s="1" t="n">
        <f aca="false">F341-$B341</f>
        <v>0.006976</v>
      </c>
      <c r="J341" s="1" t="n">
        <f aca="false">G341-$B341</f>
        <v>-9.09999999999999E-005</v>
      </c>
    </row>
    <row r="342" customFormat="false" ht="15" hidden="false" customHeight="false" outlineLevel="0" collapsed="false">
      <c r="A342" s="7" t="n">
        <v>35916</v>
      </c>
      <c r="B342" s="1" t="n">
        <v>0.004</v>
      </c>
      <c r="C342" s="1" t="n">
        <v>-0.0307</v>
      </c>
      <c r="D342" s="1" t="n">
        <v>-0.034</v>
      </c>
      <c r="E342" s="1" t="n">
        <v>0.0341</v>
      </c>
      <c r="F342" s="1" t="n">
        <v>-0.017674</v>
      </c>
      <c r="G342" s="1" t="n">
        <v>-0.024932</v>
      </c>
      <c r="I342" s="1" t="n">
        <f aca="false">F342-$B342</f>
        <v>-0.021674</v>
      </c>
      <c r="J342" s="1" t="n">
        <f aca="false">G342-$B342</f>
        <v>-0.028932</v>
      </c>
    </row>
    <row r="343" customFormat="false" ht="15" hidden="false" customHeight="false" outlineLevel="0" collapsed="false">
      <c r="A343" s="7" t="n">
        <v>35947</v>
      </c>
      <c r="B343" s="1" t="n">
        <v>0.0041</v>
      </c>
      <c r="C343" s="1" t="n">
        <v>0.0319</v>
      </c>
      <c r="D343" s="1" t="n">
        <v>-0.0317</v>
      </c>
      <c r="E343" s="1" t="n">
        <v>-0.0203</v>
      </c>
      <c r="F343" s="1" t="n">
        <v>0.04097</v>
      </c>
      <c r="G343" s="1" t="n">
        <v>0.010836</v>
      </c>
      <c r="I343" s="1" t="n">
        <f aca="false">F343-$B343</f>
        <v>0.03687</v>
      </c>
      <c r="J343" s="1" t="n">
        <f aca="false">G343-$B343</f>
        <v>0.006736</v>
      </c>
    </row>
    <row r="344" customFormat="false" ht="15" hidden="false" customHeight="false" outlineLevel="0" collapsed="false">
      <c r="A344" s="7" t="n">
        <v>35977</v>
      </c>
      <c r="B344" s="1" t="n">
        <v>0.004</v>
      </c>
      <c r="C344" s="1" t="n">
        <v>-0.0242</v>
      </c>
      <c r="D344" s="1" t="n">
        <v>-0.0483</v>
      </c>
      <c r="E344" s="1" t="n">
        <v>-0.0183</v>
      </c>
      <c r="F344" s="1" t="n">
        <v>-0.010109</v>
      </c>
      <c r="G344" s="1" t="n">
        <v>-0.044451</v>
      </c>
      <c r="I344" s="1" t="n">
        <f aca="false">F344-$B344</f>
        <v>-0.014109</v>
      </c>
      <c r="J344" s="1" t="n">
        <f aca="false">G344-$B344</f>
        <v>-0.048451</v>
      </c>
    </row>
    <row r="345" customFormat="false" ht="15" hidden="false" customHeight="false" outlineLevel="0" collapsed="false">
      <c r="A345" s="7" t="n">
        <v>36008</v>
      </c>
      <c r="B345" s="1" t="n">
        <v>0.0043</v>
      </c>
      <c r="C345" s="1" t="n">
        <v>-0.1605</v>
      </c>
      <c r="D345" s="1" t="n">
        <v>-0.0547</v>
      </c>
      <c r="E345" s="1" t="n">
        <v>0.0357</v>
      </c>
      <c r="F345" s="1" t="n">
        <v>-0.143124</v>
      </c>
      <c r="G345" s="1" t="n">
        <v>-0.148456</v>
      </c>
      <c r="I345" s="1" t="n">
        <f aca="false">F345-$B345</f>
        <v>-0.147424</v>
      </c>
      <c r="J345" s="1" t="n">
        <f aca="false">G345-$B345</f>
        <v>-0.152756</v>
      </c>
    </row>
    <row r="346" customFormat="false" ht="15" hidden="false" customHeight="false" outlineLevel="0" collapsed="false">
      <c r="A346" s="7" t="n">
        <v>36039</v>
      </c>
      <c r="B346" s="1" t="n">
        <v>0.0046</v>
      </c>
      <c r="C346" s="1" t="n">
        <v>0.0619</v>
      </c>
      <c r="D346" s="1" t="n">
        <v>-0.0002</v>
      </c>
      <c r="E346" s="1" t="n">
        <v>-0.0351</v>
      </c>
      <c r="F346" s="1" t="n">
        <v>0.063176</v>
      </c>
      <c r="G346" s="1" t="n">
        <v>0.060341</v>
      </c>
      <c r="I346" s="1" t="n">
        <f aca="false">F346-$B346</f>
        <v>0.058576</v>
      </c>
      <c r="J346" s="1" t="n">
        <f aca="false">G346-$B346</f>
        <v>0.055741</v>
      </c>
    </row>
    <row r="347" customFormat="false" ht="15" hidden="false" customHeight="false" outlineLevel="0" collapsed="false">
      <c r="A347" s="7" t="n">
        <v>36069</v>
      </c>
      <c r="B347" s="1" t="n">
        <v>0.0032</v>
      </c>
      <c r="C347" s="1" t="n">
        <v>0.0698</v>
      </c>
      <c r="D347" s="1" t="n">
        <v>-0.0298</v>
      </c>
      <c r="E347" s="1" t="n">
        <v>-0.0233</v>
      </c>
      <c r="F347" s="1" t="n">
        <v>0.080111</v>
      </c>
      <c r="G347" s="1" t="n">
        <v>0.08884</v>
      </c>
      <c r="I347" s="1" t="n">
        <f aca="false">F347-$B347</f>
        <v>0.076911</v>
      </c>
      <c r="J347" s="1" t="n">
        <f aca="false">G347-$B347</f>
        <v>0.08564</v>
      </c>
    </row>
    <row r="348" customFormat="false" ht="15" hidden="false" customHeight="false" outlineLevel="0" collapsed="false">
      <c r="A348" s="7" t="n">
        <v>36100</v>
      </c>
      <c r="B348" s="1" t="n">
        <v>0.0031</v>
      </c>
      <c r="C348" s="1" t="n">
        <v>0.0607</v>
      </c>
      <c r="D348" s="1" t="n">
        <v>0.0126</v>
      </c>
      <c r="E348" s="1" t="n">
        <v>-0.0324</v>
      </c>
      <c r="F348" s="1" t="n">
        <v>0.062165</v>
      </c>
      <c r="G348" s="1" t="n">
        <v>0.05071</v>
      </c>
      <c r="I348" s="1" t="n">
        <f aca="false">F348-$B348</f>
        <v>0.059065</v>
      </c>
      <c r="J348" s="1" t="n">
        <f aca="false">G348-$B348</f>
        <v>0.04761</v>
      </c>
    </row>
    <row r="349" customFormat="false" ht="15" hidden="false" customHeight="false" outlineLevel="0" collapsed="false">
      <c r="A349" s="7" t="n">
        <v>36130</v>
      </c>
      <c r="B349" s="1" t="n">
        <v>0.0038</v>
      </c>
      <c r="C349" s="1" t="n">
        <v>0.0615</v>
      </c>
      <c r="D349" s="1" t="n">
        <v>-0.0046</v>
      </c>
      <c r="E349" s="1" t="n">
        <v>-0.0425</v>
      </c>
      <c r="F349" s="1" t="n">
        <v>0.059673</v>
      </c>
      <c r="G349" s="1" t="n">
        <v>0.029082</v>
      </c>
      <c r="I349" s="1" t="n">
        <f aca="false">F349-$B349</f>
        <v>0.055873</v>
      </c>
      <c r="J349" s="1" t="n">
        <f aca="false">G349-$B349</f>
        <v>0.025282</v>
      </c>
    </row>
    <row r="350" customFormat="false" ht="15" hidden="false" customHeight="false" outlineLevel="0" collapsed="false">
      <c r="A350" s="7" t="n">
        <v>36161</v>
      </c>
      <c r="B350" s="1" t="n">
        <v>0.0035</v>
      </c>
      <c r="C350" s="1" t="n">
        <v>0.0348</v>
      </c>
      <c r="D350" s="1" t="n">
        <v>0.0067</v>
      </c>
      <c r="E350" s="1" t="n">
        <v>-0.0446</v>
      </c>
      <c r="F350" s="1" t="n">
        <v>0.0428</v>
      </c>
      <c r="G350" s="1" t="n">
        <v>0.010847</v>
      </c>
      <c r="I350" s="1" t="n">
        <f aca="false">F350-$B350</f>
        <v>0.0393</v>
      </c>
      <c r="J350" s="1" t="n">
        <f aca="false">G350-$B350</f>
        <v>0.007347</v>
      </c>
    </row>
    <row r="351" customFormat="false" ht="15" hidden="false" customHeight="false" outlineLevel="0" collapsed="false">
      <c r="A351" s="7" t="n">
        <v>36192</v>
      </c>
      <c r="B351" s="1" t="n">
        <v>0.0035</v>
      </c>
      <c r="C351" s="1" t="n">
        <v>-0.0408</v>
      </c>
      <c r="D351" s="1" t="n">
        <v>-0.0602</v>
      </c>
      <c r="E351" s="1" t="n">
        <v>0.0195</v>
      </c>
      <c r="F351" s="1" t="n">
        <v>-0.031935</v>
      </c>
      <c r="G351" s="1" t="n">
        <v>-0.019371</v>
      </c>
      <c r="I351" s="1" t="n">
        <f aca="false">F351-$B351</f>
        <v>-0.035435</v>
      </c>
      <c r="J351" s="1" t="n">
        <f aca="false">G351-$B351</f>
        <v>-0.022871</v>
      </c>
    </row>
    <row r="352" customFormat="false" ht="15" hidden="false" customHeight="false" outlineLevel="0" collapsed="false">
      <c r="A352" s="7" t="n">
        <v>36220</v>
      </c>
      <c r="B352" s="1" t="n">
        <v>0.0043</v>
      </c>
      <c r="C352" s="1" t="n">
        <v>0.0348</v>
      </c>
      <c r="D352" s="1" t="n">
        <v>-0.0384</v>
      </c>
      <c r="E352" s="1" t="n">
        <v>-0.0261</v>
      </c>
      <c r="F352" s="1" t="n">
        <v>0.038979</v>
      </c>
      <c r="G352" s="1" t="n">
        <v>0.021855</v>
      </c>
      <c r="I352" s="1" t="n">
        <f aca="false">F352-$B352</f>
        <v>0.034679</v>
      </c>
      <c r="J352" s="1" t="n">
        <f aca="false">G352-$B352</f>
        <v>0.017555</v>
      </c>
    </row>
    <row r="353" customFormat="false" ht="15" hidden="false" customHeight="false" outlineLevel="0" collapsed="false">
      <c r="A353" s="7" t="n">
        <v>36251</v>
      </c>
      <c r="B353" s="1" t="n">
        <v>0.0037</v>
      </c>
      <c r="C353" s="1" t="n">
        <v>0.0434</v>
      </c>
      <c r="D353" s="1" t="n">
        <v>0.0389</v>
      </c>
      <c r="E353" s="1" t="n">
        <v>0.024</v>
      </c>
      <c r="F353" s="1" t="n">
        <v>0.037559</v>
      </c>
      <c r="G353" s="1" t="n">
        <v>0.096934</v>
      </c>
      <c r="I353" s="1" t="n">
        <f aca="false">F353-$B353</f>
        <v>0.033859</v>
      </c>
      <c r="J353" s="1" t="n">
        <f aca="false">G353-$B353</f>
        <v>0.093234</v>
      </c>
    </row>
    <row r="354" customFormat="false" ht="15" hidden="false" customHeight="false" outlineLevel="0" collapsed="false">
      <c r="A354" s="7" t="n">
        <v>36281</v>
      </c>
      <c r="B354" s="1" t="n">
        <v>0.0034</v>
      </c>
      <c r="C354" s="1" t="n">
        <v>-0.0246</v>
      </c>
      <c r="D354" s="1" t="n">
        <v>0.0332</v>
      </c>
      <c r="E354" s="1" t="n">
        <v>0.0249</v>
      </c>
      <c r="F354" s="1" t="n">
        <v>-0.023159</v>
      </c>
      <c r="G354" s="1" t="n">
        <v>-0.001112</v>
      </c>
      <c r="I354" s="1" t="n">
        <f aca="false">F354-$B354</f>
        <v>-0.026559</v>
      </c>
      <c r="J354" s="1" t="n">
        <f aca="false">G354-$B354</f>
        <v>-0.004512</v>
      </c>
    </row>
    <row r="355" customFormat="false" ht="15" hidden="false" customHeight="false" outlineLevel="0" collapsed="false">
      <c r="A355" s="7" t="n">
        <v>36312</v>
      </c>
      <c r="B355" s="1" t="n">
        <v>0.004</v>
      </c>
      <c r="C355" s="1" t="n">
        <v>0.0477</v>
      </c>
      <c r="D355" s="1" t="n">
        <v>0.0323</v>
      </c>
      <c r="E355" s="1" t="n">
        <v>-0.0322</v>
      </c>
      <c r="F355" s="1" t="n">
        <v>0.054431</v>
      </c>
      <c r="G355" s="1" t="n">
        <v>0.041249</v>
      </c>
      <c r="I355" s="1" t="n">
        <f aca="false">F355-$B355</f>
        <v>0.050431</v>
      </c>
      <c r="J355" s="1" t="n">
        <f aca="false">G355-$B355</f>
        <v>0.037249</v>
      </c>
    </row>
    <row r="356" customFormat="false" ht="15" hidden="false" customHeight="false" outlineLevel="0" collapsed="false">
      <c r="A356" s="7" t="n">
        <v>36342</v>
      </c>
      <c r="B356" s="1" t="n">
        <v>0.0038</v>
      </c>
      <c r="C356" s="1" t="n">
        <v>-0.0349</v>
      </c>
      <c r="D356" s="1" t="n">
        <v>0.0248</v>
      </c>
      <c r="E356" s="1" t="n">
        <v>-0.0018</v>
      </c>
      <c r="F356" s="1" t="n">
        <v>-0.03022</v>
      </c>
      <c r="G356" s="1" t="n">
        <v>-0.034555</v>
      </c>
      <c r="I356" s="1" t="n">
        <f aca="false">F356-$B356</f>
        <v>-0.03402</v>
      </c>
      <c r="J356" s="1" t="n">
        <f aca="false">G356-$B356</f>
        <v>-0.038355</v>
      </c>
    </row>
    <row r="357" customFormat="false" ht="15" hidden="false" customHeight="false" outlineLevel="0" collapsed="false">
      <c r="A357" s="7" t="n">
        <v>36373</v>
      </c>
      <c r="B357" s="1" t="n">
        <v>0.0039</v>
      </c>
      <c r="C357" s="1" t="n">
        <v>-0.0137</v>
      </c>
      <c r="D357" s="1" t="n">
        <v>-0.0095</v>
      </c>
      <c r="E357" s="1" t="n">
        <v>-0.0193</v>
      </c>
      <c r="F357" s="1" t="n">
        <v>-0.005004</v>
      </c>
      <c r="G357" s="1" t="n">
        <v>-0.022233</v>
      </c>
      <c r="I357" s="1" t="n">
        <f aca="false">F357-$B357</f>
        <v>-0.008904</v>
      </c>
      <c r="J357" s="1" t="n">
        <f aca="false">G357-$B357</f>
        <v>-0.026133</v>
      </c>
    </row>
    <row r="358" customFormat="false" ht="15" hidden="false" customHeight="false" outlineLevel="0" collapsed="false">
      <c r="A358" s="7" t="n">
        <v>36404</v>
      </c>
      <c r="B358" s="1" t="n">
        <v>0.0039</v>
      </c>
      <c r="C358" s="1" t="n">
        <v>-0.0277</v>
      </c>
      <c r="D358" s="1" t="n">
        <v>0.0312</v>
      </c>
      <c r="E358" s="1" t="n">
        <v>-0.029</v>
      </c>
      <c r="F358" s="1" t="n">
        <v>-0.028079</v>
      </c>
      <c r="G358" s="1" t="n">
        <v>-0.039403</v>
      </c>
      <c r="I358" s="1" t="n">
        <f aca="false">F358-$B358</f>
        <v>-0.031979</v>
      </c>
      <c r="J358" s="1" t="n">
        <f aca="false">G358-$B358</f>
        <v>-0.043303</v>
      </c>
    </row>
    <row r="359" customFormat="false" ht="15" hidden="false" customHeight="false" outlineLevel="0" collapsed="false">
      <c r="A359" s="7" t="n">
        <v>36434</v>
      </c>
      <c r="B359" s="1" t="n">
        <v>0.0039</v>
      </c>
      <c r="C359" s="1" t="n">
        <v>0.0609</v>
      </c>
      <c r="D359" s="1" t="n">
        <v>-0.0694</v>
      </c>
      <c r="E359" s="1" t="n">
        <v>-0.0288</v>
      </c>
      <c r="F359" s="1" t="n">
        <v>0.064238</v>
      </c>
      <c r="G359" s="1" t="n">
        <v>0.03097</v>
      </c>
      <c r="I359" s="1" t="n">
        <f aca="false">F359-$B359</f>
        <v>0.060338</v>
      </c>
      <c r="J359" s="1" t="n">
        <f aca="false">G359-$B359</f>
        <v>0.02707</v>
      </c>
    </row>
    <row r="360" customFormat="false" ht="15" hidden="false" customHeight="false" outlineLevel="0" collapsed="false">
      <c r="A360" s="7" t="n">
        <v>36465</v>
      </c>
      <c r="B360" s="1" t="n">
        <v>0.0036</v>
      </c>
      <c r="C360" s="1" t="n">
        <v>0.0341</v>
      </c>
      <c r="D360" s="1" t="n">
        <v>0.0687</v>
      </c>
      <c r="E360" s="1" t="n">
        <v>-0.0565</v>
      </c>
      <c r="F360" s="1" t="n">
        <v>0.020822</v>
      </c>
      <c r="G360" s="1" t="n">
        <v>-0.001732</v>
      </c>
      <c r="I360" s="1" t="n">
        <f aca="false">F360-$B360</f>
        <v>0.017222</v>
      </c>
      <c r="J360" s="1" t="n">
        <f aca="false">G360-$B360</f>
        <v>-0.005332</v>
      </c>
    </row>
    <row r="361" customFormat="false" ht="15" hidden="false" customHeight="false" outlineLevel="0" collapsed="false">
      <c r="A361" s="7" t="n">
        <v>36495</v>
      </c>
      <c r="B361" s="1" t="n">
        <v>0.0044</v>
      </c>
      <c r="C361" s="1" t="n">
        <v>0.0766</v>
      </c>
      <c r="D361" s="1" t="n">
        <v>0.0656</v>
      </c>
      <c r="E361" s="1" t="n">
        <v>-0.0766</v>
      </c>
      <c r="F361" s="1" t="n">
        <v>0.062579</v>
      </c>
      <c r="G361" s="1" t="n">
        <v>0.044205</v>
      </c>
      <c r="I361" s="1" t="n">
        <f aca="false">F361-$B361</f>
        <v>0.058179</v>
      </c>
      <c r="J361" s="1" t="n">
        <f aca="false">G361-$B361</f>
        <v>0.039805</v>
      </c>
    </row>
    <row r="362" customFormat="false" ht="15" hidden="false" customHeight="false" outlineLevel="0" collapsed="false">
      <c r="A362" s="7" t="n">
        <v>36526</v>
      </c>
      <c r="B362" s="1" t="n">
        <v>0.0041</v>
      </c>
      <c r="C362" s="1" t="n">
        <v>-0.0474</v>
      </c>
      <c r="D362" s="1" t="n">
        <v>0.0516</v>
      </c>
      <c r="E362" s="1" t="n">
        <v>-0.0112</v>
      </c>
      <c r="F362" s="1" t="n">
        <v>-0.04963</v>
      </c>
      <c r="G362" s="1" t="n">
        <v>-0.057249</v>
      </c>
      <c r="I362" s="1" t="n">
        <f aca="false">F362-$B362</f>
        <v>-0.05373</v>
      </c>
      <c r="J362" s="1" t="n">
        <f aca="false">G362-$B362</f>
        <v>-0.061349</v>
      </c>
    </row>
    <row r="363" customFormat="false" ht="15" hidden="false" customHeight="false" outlineLevel="0" collapsed="false">
      <c r="A363" s="7" t="n">
        <v>36557</v>
      </c>
      <c r="B363" s="1" t="n">
        <v>0.0043</v>
      </c>
      <c r="C363" s="1" t="n">
        <v>0.0246</v>
      </c>
      <c r="D363" s="1" t="n">
        <v>0.2125</v>
      </c>
      <c r="E363" s="1" t="n">
        <v>-0.0977</v>
      </c>
      <c r="F363" s="1" t="n">
        <v>-0.017458</v>
      </c>
      <c r="G363" s="1" t="n">
        <v>-0.045099</v>
      </c>
      <c r="I363" s="1" t="n">
        <f aca="false">F363-$B363</f>
        <v>-0.021758</v>
      </c>
      <c r="J363" s="1" t="n">
        <f aca="false">G363-$B363</f>
        <v>-0.049399</v>
      </c>
    </row>
    <row r="364" customFormat="false" ht="15" hidden="false" customHeight="false" outlineLevel="0" collapsed="false">
      <c r="A364" s="7" t="n">
        <v>36586</v>
      </c>
      <c r="B364" s="1" t="n">
        <v>0.0047</v>
      </c>
      <c r="C364" s="1" t="n">
        <v>0.0521</v>
      </c>
      <c r="D364" s="1" t="n">
        <v>-0.1741</v>
      </c>
      <c r="E364" s="1" t="n">
        <v>0.085</v>
      </c>
      <c r="F364" s="1" t="n">
        <v>0.098488</v>
      </c>
      <c r="G364" s="1" t="n">
        <v>0.109941</v>
      </c>
      <c r="I364" s="1" t="n">
        <f aca="false">F364-$B364</f>
        <v>0.093788</v>
      </c>
      <c r="J364" s="1" t="n">
        <f aca="false">G364-$B364</f>
        <v>0.105241</v>
      </c>
    </row>
    <row r="365" customFormat="false" ht="15" hidden="false" customHeight="false" outlineLevel="0" collapsed="false">
      <c r="A365" s="7" t="n">
        <v>36617</v>
      </c>
      <c r="B365" s="1" t="n">
        <v>0.0046</v>
      </c>
      <c r="C365" s="1" t="n">
        <v>-0.0639</v>
      </c>
      <c r="D365" s="1" t="n">
        <v>-0.06</v>
      </c>
      <c r="E365" s="1" t="n">
        <v>0.0645</v>
      </c>
      <c r="F365" s="1" t="n">
        <v>-0.031583</v>
      </c>
      <c r="G365" s="1" t="n">
        <v>0.008074</v>
      </c>
      <c r="I365" s="1" t="n">
        <f aca="false">F365-$B365</f>
        <v>-0.036183</v>
      </c>
      <c r="J365" s="1" t="n">
        <f aca="false">G365-$B365</f>
        <v>0.003474</v>
      </c>
    </row>
    <row r="366" customFormat="false" ht="15" hidden="false" customHeight="false" outlineLevel="0" collapsed="false">
      <c r="A366" s="7" t="n">
        <v>36647</v>
      </c>
      <c r="B366" s="1" t="n">
        <v>0.005</v>
      </c>
      <c r="C366" s="1" t="n">
        <v>-0.0439</v>
      </c>
      <c r="D366" s="1" t="n">
        <v>-0.0608</v>
      </c>
      <c r="E366" s="1" t="n">
        <v>0.0459</v>
      </c>
      <c r="F366" s="1" t="n">
        <v>-0.022304</v>
      </c>
      <c r="G366" s="1" t="n">
        <v>0.016657</v>
      </c>
      <c r="I366" s="1" t="n">
        <f aca="false">F366-$B366</f>
        <v>-0.027304</v>
      </c>
      <c r="J366" s="1" t="n">
        <f aca="false">G366-$B366</f>
        <v>0.011657</v>
      </c>
    </row>
    <row r="367" customFormat="false" ht="15" hidden="false" customHeight="false" outlineLevel="0" collapsed="false">
      <c r="A367" s="7" t="n">
        <v>36678</v>
      </c>
      <c r="B367" s="1" t="n">
        <v>0.004</v>
      </c>
      <c r="C367" s="1" t="n">
        <v>0.0468</v>
      </c>
      <c r="D367" s="1" t="n">
        <v>0.1271</v>
      </c>
      <c r="E367" s="1" t="n">
        <v>-0.0804</v>
      </c>
      <c r="F367" s="1" t="n">
        <v>0.026219</v>
      </c>
      <c r="G367" s="1" t="n">
        <v>-0.019605</v>
      </c>
      <c r="I367" s="1" t="n">
        <f aca="false">F367-$B367</f>
        <v>0.022219</v>
      </c>
      <c r="J367" s="1" t="n">
        <f aca="false">G367-$B367</f>
        <v>-0.023605</v>
      </c>
    </row>
    <row r="368" customFormat="false" ht="15" hidden="false" customHeight="false" outlineLevel="0" collapsed="false">
      <c r="A368" s="7" t="n">
        <v>36708</v>
      </c>
      <c r="B368" s="1" t="n">
        <v>0.0048</v>
      </c>
      <c r="C368" s="1" t="n">
        <v>-0.0248</v>
      </c>
      <c r="D368" s="1" t="n">
        <v>-0.0284</v>
      </c>
      <c r="E368" s="1" t="n">
        <v>0.0806</v>
      </c>
      <c r="F368" s="1" t="n">
        <v>-0.012795</v>
      </c>
      <c r="G368" s="1" t="n">
        <v>0.003866</v>
      </c>
      <c r="I368" s="1" t="n">
        <f aca="false">F368-$B368</f>
        <v>-0.017595</v>
      </c>
      <c r="J368" s="1" t="n">
        <f aca="false">G368-$B368</f>
        <v>-0.000934</v>
      </c>
    </row>
    <row r="369" customFormat="false" ht="15" hidden="false" customHeight="false" outlineLevel="0" collapsed="false">
      <c r="A369" s="7" t="n">
        <v>36739</v>
      </c>
      <c r="B369" s="1" t="n">
        <v>0.005</v>
      </c>
      <c r="C369" s="1" t="n">
        <v>0.0703</v>
      </c>
      <c r="D369" s="1" t="n">
        <v>-0.005</v>
      </c>
      <c r="E369" s="1" t="n">
        <v>-0.0137</v>
      </c>
      <c r="F369" s="1" t="n">
        <v>0.062594</v>
      </c>
      <c r="G369" s="1" t="n">
        <v>0.074144</v>
      </c>
      <c r="I369" s="1" t="n">
        <f aca="false">F369-$B369</f>
        <v>0.057594</v>
      </c>
      <c r="J369" s="1" t="n">
        <f aca="false">G369-$B369</f>
        <v>0.069144</v>
      </c>
    </row>
    <row r="370" customFormat="false" ht="15" hidden="false" customHeight="false" outlineLevel="0" collapsed="false">
      <c r="A370" s="7" t="n">
        <v>36770</v>
      </c>
      <c r="B370" s="1" t="n">
        <v>0.0051</v>
      </c>
      <c r="C370" s="1" t="n">
        <v>-0.0544</v>
      </c>
      <c r="D370" s="1" t="n">
        <v>-0.0174</v>
      </c>
      <c r="E370" s="1" t="n">
        <v>0.0724</v>
      </c>
      <c r="F370" s="1" t="n">
        <v>-0.052088</v>
      </c>
      <c r="G370" s="1" t="n">
        <v>-0.013813</v>
      </c>
      <c r="I370" s="1" t="n">
        <f aca="false">F370-$B370</f>
        <v>-0.057188</v>
      </c>
      <c r="J370" s="1" t="n">
        <f aca="false">G370-$B370</f>
        <v>-0.018913</v>
      </c>
    </row>
    <row r="371" customFormat="false" ht="15" hidden="false" customHeight="false" outlineLevel="0" collapsed="false">
      <c r="A371" s="7" t="n">
        <v>36800</v>
      </c>
      <c r="B371" s="1" t="n">
        <v>0.0056</v>
      </c>
      <c r="C371" s="1" t="n">
        <v>-0.0278</v>
      </c>
      <c r="D371" s="1" t="n">
        <v>-0.0385</v>
      </c>
      <c r="E371" s="1" t="n">
        <v>0.0558</v>
      </c>
      <c r="F371" s="1" t="n">
        <v>-0.00412</v>
      </c>
      <c r="G371" s="1" t="n">
        <v>0.021097</v>
      </c>
      <c r="I371" s="1" t="n">
        <f aca="false">F371-$B371</f>
        <v>-0.00972</v>
      </c>
      <c r="J371" s="1" t="n">
        <f aca="false">G371-$B371</f>
        <v>0.015497</v>
      </c>
    </row>
    <row r="372" customFormat="false" ht="15" hidden="false" customHeight="false" outlineLevel="0" collapsed="false">
      <c r="A372" s="7" t="n">
        <v>36831</v>
      </c>
      <c r="B372" s="1" t="n">
        <v>0.0051</v>
      </c>
      <c r="C372" s="1" t="n">
        <v>-0.107</v>
      </c>
      <c r="D372" s="1" t="n">
        <v>-0.0308</v>
      </c>
      <c r="E372" s="1" t="n">
        <v>0.1224</v>
      </c>
      <c r="F372" s="1" t="n">
        <v>-0.078268</v>
      </c>
      <c r="G372" s="1" t="n">
        <v>-0.045453</v>
      </c>
      <c r="I372" s="1" t="n">
        <f aca="false">F372-$B372</f>
        <v>-0.083368</v>
      </c>
      <c r="J372" s="1" t="n">
        <f aca="false">G372-$B372</f>
        <v>-0.050553</v>
      </c>
    </row>
    <row r="373" customFormat="false" ht="15" hidden="false" customHeight="false" outlineLevel="0" collapsed="false">
      <c r="A373" s="7" t="n">
        <v>36861</v>
      </c>
      <c r="B373" s="1" t="n">
        <v>0.005</v>
      </c>
      <c r="C373" s="1" t="n">
        <v>0.0118</v>
      </c>
      <c r="D373" s="1" t="n">
        <v>0.0082</v>
      </c>
      <c r="E373" s="1" t="n">
        <v>0.0755</v>
      </c>
      <c r="F373" s="1" t="n">
        <v>0.00572</v>
      </c>
      <c r="G373" s="1" t="n">
        <v>0.066751</v>
      </c>
      <c r="I373" s="1" t="n">
        <f aca="false">F373-$B373</f>
        <v>0.00072</v>
      </c>
      <c r="J373" s="1" t="n">
        <f aca="false">G373-$B373</f>
        <v>0.061751</v>
      </c>
    </row>
    <row r="374" customFormat="false" ht="15" hidden="false" customHeight="false" outlineLevel="0" collapsed="false">
      <c r="A374" s="7" t="n">
        <v>36892</v>
      </c>
      <c r="B374" s="1" t="n">
        <v>0.0054</v>
      </c>
      <c r="C374" s="1" t="n">
        <v>0.0325</v>
      </c>
      <c r="D374" s="1" t="n">
        <v>0.0641</v>
      </c>
      <c r="E374" s="1" t="n">
        <v>-0.0505</v>
      </c>
      <c r="F374" s="1" t="n">
        <v>0.032372</v>
      </c>
      <c r="G374" s="1" t="n">
        <v>0.053413</v>
      </c>
      <c r="I374" s="1" t="n">
        <f aca="false">F374-$B374</f>
        <v>0.026972</v>
      </c>
      <c r="J374" s="1" t="n">
        <f aca="false">G374-$B374</f>
        <v>0.048013</v>
      </c>
    </row>
    <row r="375" customFormat="false" ht="15" hidden="false" customHeight="false" outlineLevel="0" collapsed="false">
      <c r="A375" s="7" t="n">
        <v>36923</v>
      </c>
      <c r="B375" s="1" t="n">
        <v>0.0038</v>
      </c>
      <c r="C375" s="1" t="n">
        <v>-0.1003</v>
      </c>
      <c r="D375" s="1" t="n">
        <v>-0.0065</v>
      </c>
      <c r="E375" s="1" t="n">
        <v>0.1223</v>
      </c>
      <c r="F375" s="1" t="n">
        <v>-0.090952</v>
      </c>
      <c r="G375" s="1" t="n">
        <v>-0.044749</v>
      </c>
      <c r="I375" s="1" t="n">
        <f aca="false">F375-$B375</f>
        <v>-0.094752</v>
      </c>
      <c r="J375" s="1" t="n">
        <f aca="false">G375-$B375</f>
        <v>-0.048549</v>
      </c>
    </row>
    <row r="376" customFormat="false" ht="15" hidden="false" customHeight="false" outlineLevel="0" collapsed="false">
      <c r="A376" s="7" t="n">
        <v>36951</v>
      </c>
      <c r="B376" s="1" t="n">
        <v>0.0042</v>
      </c>
      <c r="C376" s="1" t="n">
        <v>-0.0725</v>
      </c>
      <c r="D376" s="1" t="n">
        <v>0.0026</v>
      </c>
      <c r="E376" s="1" t="n">
        <v>0.0647</v>
      </c>
      <c r="F376" s="1" t="n">
        <v>-0.063706</v>
      </c>
      <c r="G376" s="1" t="n">
        <v>-0.049836</v>
      </c>
      <c r="I376" s="1" t="n">
        <f aca="false">F376-$B376</f>
        <v>-0.067906</v>
      </c>
      <c r="J376" s="1" t="n">
        <f aca="false">G376-$B376</f>
        <v>-0.054036</v>
      </c>
    </row>
    <row r="377" customFormat="false" ht="15" hidden="false" customHeight="false" outlineLevel="0" collapsed="false">
      <c r="A377" s="7" t="n">
        <v>36982</v>
      </c>
      <c r="B377" s="1" t="n">
        <v>0.0039</v>
      </c>
      <c r="C377" s="1" t="n">
        <v>0.0793</v>
      </c>
      <c r="D377" s="1" t="n">
        <v>0.005</v>
      </c>
      <c r="E377" s="1" t="n">
        <v>-0.0464</v>
      </c>
      <c r="F377" s="1" t="n">
        <v>0.077824</v>
      </c>
      <c r="G377" s="1" t="n">
        <v>0.084714</v>
      </c>
      <c r="I377" s="1" t="n">
        <f aca="false">F377-$B377</f>
        <v>0.073924</v>
      </c>
      <c r="J377" s="1" t="n">
        <f aca="false">G377-$B377</f>
        <v>0.080814</v>
      </c>
    </row>
    <row r="378" customFormat="false" ht="15" hidden="false" customHeight="false" outlineLevel="0" collapsed="false">
      <c r="A378" s="7" t="n">
        <v>37012</v>
      </c>
      <c r="B378" s="1" t="n">
        <v>0.0032</v>
      </c>
      <c r="C378" s="1" t="n">
        <v>0.0068</v>
      </c>
      <c r="D378" s="1" t="n">
        <v>0.0248</v>
      </c>
      <c r="E378" s="1" t="n">
        <v>0.0338</v>
      </c>
      <c r="F378" s="1" t="n">
        <v>0.006859</v>
      </c>
      <c r="G378" s="1" t="n">
        <v>0.017676</v>
      </c>
      <c r="I378" s="1" t="n">
        <f aca="false">F378-$B378</f>
        <v>0.003659</v>
      </c>
      <c r="J378" s="1" t="n">
        <f aca="false">G378-$B378</f>
        <v>0.014476</v>
      </c>
    </row>
    <row r="379" customFormat="false" ht="15" hidden="false" customHeight="false" outlineLevel="0" collapsed="false">
      <c r="A379" s="7" t="n">
        <v>37043</v>
      </c>
      <c r="B379" s="1" t="n">
        <v>0.0028</v>
      </c>
      <c r="C379" s="1" t="n">
        <v>-0.0194</v>
      </c>
      <c r="D379" s="1" t="n">
        <v>0.0635</v>
      </c>
      <c r="E379" s="1" t="n">
        <v>-0.0126</v>
      </c>
      <c r="F379" s="1" t="n">
        <v>-0.024505</v>
      </c>
      <c r="G379" s="1" t="n">
        <v>-0.015803</v>
      </c>
      <c r="I379" s="1" t="n">
        <f aca="false">F379-$B379</f>
        <v>-0.027305</v>
      </c>
      <c r="J379" s="1" t="n">
        <f aca="false">G379-$B379</f>
        <v>-0.018603</v>
      </c>
    </row>
    <row r="380" customFormat="false" ht="15" hidden="false" customHeight="false" outlineLevel="0" collapsed="false">
      <c r="A380" s="7" t="n">
        <v>37073</v>
      </c>
      <c r="B380" s="1" t="n">
        <v>0.003</v>
      </c>
      <c r="C380" s="1" t="n">
        <v>-0.0213</v>
      </c>
      <c r="D380" s="1" t="n">
        <v>-0.0405</v>
      </c>
      <c r="E380" s="1" t="n">
        <v>0.0495</v>
      </c>
      <c r="F380" s="1" t="n">
        <v>-0.009317</v>
      </c>
      <c r="G380" s="1" t="n">
        <v>-0.00918</v>
      </c>
      <c r="I380" s="1" t="n">
        <f aca="false">F380-$B380</f>
        <v>-0.012317</v>
      </c>
      <c r="J380" s="1" t="n">
        <f aca="false">G380-$B380</f>
        <v>-0.01218</v>
      </c>
    </row>
    <row r="381" customFormat="false" ht="15" hidden="false" customHeight="false" outlineLevel="0" collapsed="false">
      <c r="A381" s="7" t="n">
        <v>37104</v>
      </c>
      <c r="B381" s="1" t="n">
        <v>0.0031</v>
      </c>
      <c r="C381" s="1" t="n">
        <v>-0.064</v>
      </c>
      <c r="D381" s="1" t="n">
        <v>0.0219</v>
      </c>
      <c r="E381" s="1" t="n">
        <v>0.0286</v>
      </c>
      <c r="F381" s="1" t="n">
        <v>-0.063435</v>
      </c>
      <c r="G381" s="1" t="n">
        <v>-0.043659</v>
      </c>
      <c r="I381" s="1" t="n">
        <f aca="false">F381-$B381</f>
        <v>-0.066535</v>
      </c>
      <c r="J381" s="1" t="n">
        <f aca="false">G381-$B381</f>
        <v>-0.046759</v>
      </c>
    </row>
    <row r="382" customFormat="false" ht="15" hidden="false" customHeight="false" outlineLevel="0" collapsed="false">
      <c r="A382" s="7" t="n">
        <v>37135</v>
      </c>
      <c r="B382" s="1" t="n">
        <v>0.0028</v>
      </c>
      <c r="C382" s="1" t="n">
        <v>-0.0924</v>
      </c>
      <c r="D382" s="1" t="n">
        <v>-0.0623</v>
      </c>
      <c r="E382" s="1" t="n">
        <v>0.0152</v>
      </c>
      <c r="F382" s="1" t="n">
        <v>-0.080361</v>
      </c>
      <c r="G382" s="1" t="n">
        <v>-0.124472</v>
      </c>
      <c r="I382" s="1" t="n">
        <f aca="false">F382-$B382</f>
        <v>-0.083161</v>
      </c>
      <c r="J382" s="1" t="n">
        <f aca="false">G382-$B382</f>
        <v>-0.127272</v>
      </c>
    </row>
    <row r="383" customFormat="false" ht="15" hidden="false" customHeight="false" outlineLevel="0" collapsed="false">
      <c r="A383" s="7" t="n">
        <v>37165</v>
      </c>
      <c r="B383" s="1" t="n">
        <v>0.0022</v>
      </c>
      <c r="C383" s="1" t="n">
        <v>0.0248</v>
      </c>
      <c r="D383" s="1" t="n">
        <v>0.0749</v>
      </c>
      <c r="E383" s="1" t="n">
        <v>-0.0731</v>
      </c>
      <c r="F383" s="1" t="n">
        <v>0.01954</v>
      </c>
      <c r="G383" s="1" t="n">
        <v>0.042117</v>
      </c>
      <c r="I383" s="1" t="n">
        <f aca="false">F383-$B383</f>
        <v>0.01734</v>
      </c>
      <c r="J383" s="1" t="n">
        <f aca="false">G383-$B383</f>
        <v>0.039917</v>
      </c>
    </row>
    <row r="384" customFormat="false" ht="15" hidden="false" customHeight="false" outlineLevel="0" collapsed="false">
      <c r="A384" s="7" t="n">
        <v>37196</v>
      </c>
      <c r="B384" s="1" t="n">
        <v>0.0017</v>
      </c>
      <c r="C384" s="1" t="n">
        <v>0.0753</v>
      </c>
      <c r="D384" s="1" t="n">
        <v>-0.0057</v>
      </c>
      <c r="E384" s="1" t="n">
        <v>0.0217</v>
      </c>
      <c r="F384" s="1" t="n">
        <v>0.078787</v>
      </c>
      <c r="G384" s="1" t="n">
        <v>0.102273</v>
      </c>
      <c r="I384" s="1" t="n">
        <f aca="false">F384-$B384</f>
        <v>0.077087</v>
      </c>
      <c r="J384" s="1" t="n">
        <f aca="false">G384-$B384</f>
        <v>0.100573</v>
      </c>
    </row>
    <row r="385" customFormat="false" ht="15" hidden="false" customHeight="false" outlineLevel="0" collapsed="false">
      <c r="A385" s="7" t="n">
        <v>37226</v>
      </c>
      <c r="B385" s="1" t="n">
        <v>0.0015</v>
      </c>
      <c r="C385" s="1" t="n">
        <v>0.0161</v>
      </c>
      <c r="D385" s="1" t="n">
        <v>0.0472</v>
      </c>
      <c r="E385" s="1" t="n">
        <v>0.0083</v>
      </c>
      <c r="F385" s="1" t="n">
        <v>0.009051</v>
      </c>
      <c r="G385" s="1" t="n">
        <v>0.030572</v>
      </c>
      <c r="I385" s="1" t="n">
        <f aca="false">F385-$B385</f>
        <v>0.007551</v>
      </c>
      <c r="J385" s="1" t="n">
        <f aca="false">G385-$B385</f>
        <v>0.029072</v>
      </c>
    </row>
    <row r="386" customFormat="false" ht="15" hidden="false" customHeight="false" outlineLevel="0" collapsed="false">
      <c r="A386" s="7" t="n">
        <v>37257</v>
      </c>
      <c r="B386" s="1" t="n">
        <v>0.0014</v>
      </c>
      <c r="C386" s="1" t="n">
        <v>-0.0144</v>
      </c>
      <c r="D386" s="1" t="n">
        <v>0.0117</v>
      </c>
      <c r="E386" s="1" t="n">
        <v>0.0342</v>
      </c>
      <c r="F386" s="1" t="n">
        <v>-0.014324</v>
      </c>
      <c r="G386" s="1" t="n">
        <v>-0.002527</v>
      </c>
      <c r="I386" s="1" t="n">
        <f aca="false">F386-$B386</f>
        <v>-0.015724</v>
      </c>
      <c r="J386" s="1" t="n">
        <f aca="false">G386-$B386</f>
        <v>-0.003927</v>
      </c>
    </row>
    <row r="387" customFormat="false" ht="15" hidden="false" customHeight="false" outlineLevel="0" collapsed="false">
      <c r="A387" s="7" t="n">
        <v>37288</v>
      </c>
      <c r="B387" s="1" t="n">
        <v>0.0013</v>
      </c>
      <c r="C387" s="1" t="n">
        <v>-0.023</v>
      </c>
      <c r="D387" s="1" t="n">
        <v>-0.0108</v>
      </c>
      <c r="E387" s="1" t="n">
        <v>0.0234</v>
      </c>
      <c r="F387" s="1" t="n">
        <v>-0.019481</v>
      </c>
      <c r="G387" s="1" t="n">
        <v>-0.011293</v>
      </c>
      <c r="I387" s="1" t="n">
        <f aca="false">F387-$B387</f>
        <v>-0.020781</v>
      </c>
      <c r="J387" s="1" t="n">
        <f aca="false">G387-$B387</f>
        <v>-0.012593</v>
      </c>
    </row>
    <row r="388" customFormat="false" ht="15" hidden="false" customHeight="false" outlineLevel="0" collapsed="false">
      <c r="A388" s="7" t="n">
        <v>37316</v>
      </c>
      <c r="B388" s="1" t="n">
        <v>0.0013</v>
      </c>
      <c r="C388" s="1" t="n">
        <v>0.0424</v>
      </c>
      <c r="D388" s="1" t="n">
        <v>0.0409</v>
      </c>
      <c r="E388" s="1" t="n">
        <v>0.0108</v>
      </c>
      <c r="F388" s="1" t="n">
        <v>0.037572</v>
      </c>
      <c r="G388" s="1" t="n">
        <v>0.067365</v>
      </c>
      <c r="I388" s="1" t="n">
        <f aca="false">F388-$B388</f>
        <v>0.036272</v>
      </c>
      <c r="J388" s="1" t="n">
        <f aca="false">G388-$B388</f>
        <v>0.066065</v>
      </c>
    </row>
    <row r="389" customFormat="false" ht="15" hidden="false" customHeight="false" outlineLevel="0" collapsed="false">
      <c r="A389" s="7" t="n">
        <v>37347</v>
      </c>
      <c r="B389" s="1" t="n">
        <v>0.0015</v>
      </c>
      <c r="C389" s="1" t="n">
        <v>-0.0521</v>
      </c>
      <c r="D389" s="1" t="n">
        <v>0.0582</v>
      </c>
      <c r="E389" s="1" t="n">
        <v>0.0401</v>
      </c>
      <c r="F389" s="1" t="n">
        <v>-0.061001</v>
      </c>
      <c r="G389" s="1" t="n">
        <v>-0.036342</v>
      </c>
      <c r="I389" s="1" t="n">
        <f aca="false">F389-$B389</f>
        <v>-0.062501</v>
      </c>
      <c r="J389" s="1" t="n">
        <f aca="false">G389-$B389</f>
        <v>-0.037842</v>
      </c>
    </row>
    <row r="390" customFormat="false" ht="15" hidden="false" customHeight="false" outlineLevel="0" collapsed="false">
      <c r="A390" s="7" t="n">
        <v>37377</v>
      </c>
      <c r="B390" s="1" t="n">
        <v>0.0014</v>
      </c>
      <c r="C390" s="1" t="n">
        <v>-0.0136</v>
      </c>
      <c r="D390" s="1" t="n">
        <v>-0.0327</v>
      </c>
      <c r="E390" s="1" t="n">
        <v>0.0152</v>
      </c>
      <c r="F390" s="1" t="n">
        <v>-0.0078</v>
      </c>
      <c r="G390" s="1" t="n">
        <v>-0.012256</v>
      </c>
      <c r="I390" s="1" t="n">
        <f aca="false">F390-$B390</f>
        <v>-0.0092</v>
      </c>
      <c r="J390" s="1" t="n">
        <f aca="false">G390-$B390</f>
        <v>-0.013656</v>
      </c>
    </row>
    <row r="391" customFormat="false" ht="15" hidden="false" customHeight="false" outlineLevel="0" collapsed="false">
      <c r="A391" s="7" t="n">
        <v>37408</v>
      </c>
      <c r="B391" s="1" t="n">
        <v>0.0013</v>
      </c>
      <c r="C391" s="1" t="n">
        <v>-0.0723</v>
      </c>
      <c r="D391" s="1" t="n">
        <v>0.0408</v>
      </c>
      <c r="E391" s="1" t="n">
        <v>0.0037</v>
      </c>
      <c r="F391" s="1" t="n">
        <v>-0.071349</v>
      </c>
      <c r="G391" s="1" t="n">
        <v>-0.080675</v>
      </c>
      <c r="I391" s="1" t="n">
        <f aca="false">F391-$B391</f>
        <v>-0.072649</v>
      </c>
      <c r="J391" s="1" t="n">
        <f aca="false">G391-$B391</f>
        <v>-0.081975</v>
      </c>
    </row>
    <row r="392" customFormat="false" ht="15" hidden="false" customHeight="false" outlineLevel="0" collapsed="false">
      <c r="A392" s="7" t="n">
        <v>37438</v>
      </c>
      <c r="B392" s="1" t="n">
        <v>0.0015</v>
      </c>
      <c r="C392" s="1" t="n">
        <v>-0.0819</v>
      </c>
      <c r="D392" s="1" t="n">
        <v>-0.0525</v>
      </c>
      <c r="E392" s="1" t="n">
        <v>-0.0351</v>
      </c>
      <c r="F392" s="1" t="n">
        <v>-0.073987</v>
      </c>
      <c r="G392" s="1" t="n">
        <v>-0.105229</v>
      </c>
      <c r="I392" s="1" t="n">
        <f aca="false">F392-$B392</f>
        <v>-0.075487</v>
      </c>
      <c r="J392" s="1" t="n">
        <f aca="false">G392-$B392</f>
        <v>-0.106729</v>
      </c>
    </row>
    <row r="393" customFormat="false" ht="15" hidden="false" customHeight="false" outlineLevel="0" collapsed="false">
      <c r="A393" s="7" t="n">
        <v>37469</v>
      </c>
      <c r="B393" s="1" t="n">
        <v>0.0014</v>
      </c>
      <c r="C393" s="1" t="n">
        <v>0.005</v>
      </c>
      <c r="D393" s="1" t="n">
        <v>-0.028</v>
      </c>
      <c r="E393" s="1" t="n">
        <v>0.0301</v>
      </c>
      <c r="F393" s="1" t="n">
        <v>0.007061</v>
      </c>
      <c r="G393" s="1" t="n">
        <v>0.012241</v>
      </c>
      <c r="I393" s="1" t="n">
        <f aca="false">F393-$B393</f>
        <v>0.005661</v>
      </c>
      <c r="J393" s="1" t="n">
        <f aca="false">G393-$B393</f>
        <v>0.010841</v>
      </c>
    </row>
    <row r="394" customFormat="false" ht="15" hidden="false" customHeight="false" outlineLevel="0" collapsed="false">
      <c r="A394" s="7" t="n">
        <v>37500</v>
      </c>
      <c r="B394" s="1" t="n">
        <v>0.0014</v>
      </c>
      <c r="C394" s="1" t="n">
        <v>-0.1034</v>
      </c>
      <c r="D394" s="1" t="n">
        <v>0.0242</v>
      </c>
      <c r="E394" s="1" t="n">
        <v>0.0126</v>
      </c>
      <c r="F394" s="1" t="n">
        <v>-0.108965</v>
      </c>
      <c r="G394" s="1" t="n">
        <v>-0.115309</v>
      </c>
      <c r="I394" s="1" t="n">
        <f aca="false">F394-$B394</f>
        <v>-0.110365</v>
      </c>
      <c r="J394" s="1" t="n">
        <f aca="false">G394-$B394</f>
        <v>-0.116709</v>
      </c>
    </row>
    <row r="395" customFormat="false" ht="15" hidden="false" customHeight="false" outlineLevel="0" collapsed="false">
      <c r="A395" s="7" t="n">
        <v>37530</v>
      </c>
      <c r="B395" s="1" t="n">
        <v>0.0014</v>
      </c>
      <c r="C395" s="1" t="n">
        <v>0.0784</v>
      </c>
      <c r="D395" s="1" t="n">
        <v>-0.034</v>
      </c>
      <c r="E395" s="1" t="n">
        <v>-0.0376</v>
      </c>
      <c r="F395" s="1" t="n">
        <v>0.088599</v>
      </c>
      <c r="G395" s="1" t="n">
        <v>0.073063</v>
      </c>
      <c r="I395" s="1" t="n">
        <f aca="false">F395-$B395</f>
        <v>0.087199</v>
      </c>
      <c r="J395" s="1" t="n">
        <f aca="false">G395-$B395</f>
        <v>0.071663</v>
      </c>
    </row>
    <row r="396" customFormat="false" ht="15" hidden="false" customHeight="false" outlineLevel="0" collapsed="false">
      <c r="A396" s="7" t="n">
        <v>37561</v>
      </c>
      <c r="B396" s="1" t="n">
        <v>0.0012</v>
      </c>
      <c r="C396" s="1" t="n">
        <v>0.0596</v>
      </c>
      <c r="D396" s="1" t="n">
        <v>0.0326</v>
      </c>
      <c r="E396" s="1" t="n">
        <v>-0.0116</v>
      </c>
      <c r="F396" s="1" t="n">
        <v>0.059019</v>
      </c>
      <c r="G396" s="1" t="n">
        <v>0.110251</v>
      </c>
      <c r="I396" s="1" t="n">
        <f aca="false">F396-$B396</f>
        <v>0.057819</v>
      </c>
      <c r="J396" s="1" t="n">
        <f aca="false">G396-$B396</f>
        <v>0.109051</v>
      </c>
    </row>
    <row r="397" customFormat="false" ht="15" hidden="false" customHeight="false" outlineLevel="0" collapsed="false">
      <c r="A397" s="7" t="n">
        <v>37591</v>
      </c>
      <c r="B397" s="1" t="n">
        <v>0.0011</v>
      </c>
      <c r="C397" s="1" t="n">
        <v>-0.0576</v>
      </c>
      <c r="D397" s="1" t="n">
        <v>-0.0004</v>
      </c>
      <c r="E397" s="1" t="n">
        <v>0.0211</v>
      </c>
      <c r="F397" s="1" t="n">
        <v>-0.058834</v>
      </c>
      <c r="G397" s="1" t="n">
        <v>-0.051344</v>
      </c>
      <c r="I397" s="1" t="n">
        <f aca="false">F397-$B397</f>
        <v>-0.059934</v>
      </c>
      <c r="J397" s="1" t="n">
        <f aca="false">G397-$B397</f>
        <v>-0.052444</v>
      </c>
    </row>
    <row r="398" customFormat="false" ht="15" hidden="false" customHeight="false" outlineLevel="0" collapsed="false">
      <c r="A398" s="7" t="n">
        <v>37622</v>
      </c>
      <c r="B398" s="1" t="n">
        <v>0.001</v>
      </c>
      <c r="C398" s="1" t="n">
        <v>-0.0257</v>
      </c>
      <c r="D398" s="1" t="n">
        <v>0.0134</v>
      </c>
      <c r="E398" s="1" t="n">
        <v>-0.0079</v>
      </c>
      <c r="F398" s="1" t="n">
        <v>-0.026579</v>
      </c>
      <c r="G398" s="1" t="n">
        <v>-0.025525</v>
      </c>
      <c r="I398" s="1" t="n">
        <f aca="false">F398-$B398</f>
        <v>-0.027579</v>
      </c>
      <c r="J398" s="1" t="n">
        <f aca="false">G398-$B398</f>
        <v>-0.026525</v>
      </c>
    </row>
    <row r="399" customFormat="false" ht="15" hidden="false" customHeight="false" outlineLevel="0" collapsed="false">
      <c r="A399" s="7" t="n">
        <v>37653</v>
      </c>
      <c r="B399" s="1" t="n">
        <v>0.0009</v>
      </c>
      <c r="C399" s="1" t="n">
        <v>-0.0188</v>
      </c>
      <c r="D399" s="1" t="n">
        <v>-0.0044</v>
      </c>
      <c r="E399" s="1" t="n">
        <v>-0.0136</v>
      </c>
      <c r="F399" s="1" t="n">
        <v>-0.015246</v>
      </c>
      <c r="G399" s="1" t="n">
        <v>-0.022303</v>
      </c>
      <c r="I399" s="1" t="n">
        <f aca="false">F399-$B399</f>
        <v>-0.016146</v>
      </c>
      <c r="J399" s="1" t="n">
        <f aca="false">G399-$B399</f>
        <v>-0.023203</v>
      </c>
    </row>
    <row r="400" customFormat="false" ht="15" hidden="false" customHeight="false" outlineLevel="0" collapsed="false">
      <c r="A400" s="7" t="n">
        <v>37681</v>
      </c>
      <c r="B400" s="1" t="n">
        <v>0.001</v>
      </c>
      <c r="C400" s="1" t="n">
        <v>0.0109</v>
      </c>
      <c r="D400" s="1" t="n">
        <v>0.0117</v>
      </c>
      <c r="E400" s="1" t="n">
        <v>-0.0211</v>
      </c>
      <c r="F400" s="1" t="n">
        <v>0.010308</v>
      </c>
      <c r="G400" s="1" t="n">
        <v>0.005085</v>
      </c>
      <c r="I400" s="1" t="n">
        <f aca="false">F400-$B400</f>
        <v>0.009308</v>
      </c>
      <c r="J400" s="1" t="n">
        <f aca="false">G400-$B400</f>
        <v>0.004085</v>
      </c>
    </row>
    <row r="401" customFormat="false" ht="15" hidden="false" customHeight="false" outlineLevel="0" collapsed="false">
      <c r="A401" s="7" t="n">
        <v>37712</v>
      </c>
      <c r="B401" s="1" t="n">
        <v>0.001</v>
      </c>
      <c r="C401" s="1" t="n">
        <v>0.0818</v>
      </c>
      <c r="D401" s="1" t="n">
        <v>0.0076</v>
      </c>
      <c r="E401" s="1" t="n">
        <v>0.0122</v>
      </c>
      <c r="F401" s="1" t="n">
        <v>0.082774</v>
      </c>
      <c r="G401" s="1" t="n">
        <v>0.103509</v>
      </c>
      <c r="I401" s="1" t="n">
        <f aca="false">F401-$B401</f>
        <v>0.081774</v>
      </c>
      <c r="J401" s="1" t="n">
        <f aca="false">G401-$B401</f>
        <v>0.102509</v>
      </c>
    </row>
    <row r="402" customFormat="false" ht="15" hidden="false" customHeight="false" outlineLevel="0" collapsed="false">
      <c r="A402" s="7" t="n">
        <v>37742</v>
      </c>
      <c r="B402" s="1" t="n">
        <v>0.0009</v>
      </c>
      <c r="C402" s="1" t="n">
        <v>0.0605</v>
      </c>
      <c r="D402" s="1" t="n">
        <v>0.0461</v>
      </c>
      <c r="E402" s="1" t="n">
        <v>0.007</v>
      </c>
      <c r="F402" s="1" t="n">
        <v>0.053251</v>
      </c>
      <c r="G402" s="1" t="n">
        <v>0.096073</v>
      </c>
      <c r="I402" s="1" t="n">
        <f aca="false">F402-$B402</f>
        <v>0.052351</v>
      </c>
      <c r="J402" s="1" t="n">
        <f aca="false">G402-$B402</f>
        <v>0.095173</v>
      </c>
    </row>
    <row r="403" customFormat="false" ht="15" hidden="false" customHeight="false" outlineLevel="0" collapsed="false">
      <c r="A403" s="7" t="n">
        <v>37773</v>
      </c>
      <c r="B403" s="1" t="n">
        <v>0.001</v>
      </c>
      <c r="C403" s="1" t="n">
        <v>0.0142</v>
      </c>
      <c r="D403" s="1" t="n">
        <v>0.017</v>
      </c>
      <c r="E403" s="1" t="n">
        <v>0.0014</v>
      </c>
      <c r="F403" s="1" t="n">
        <v>0.012816</v>
      </c>
      <c r="G403" s="1" t="n">
        <v>0.007649</v>
      </c>
      <c r="I403" s="1" t="n">
        <f aca="false">F403-$B403</f>
        <v>0.011816</v>
      </c>
      <c r="J403" s="1" t="n">
        <f aca="false">G403-$B403</f>
        <v>0.006649</v>
      </c>
    </row>
    <row r="404" customFormat="false" ht="15" hidden="false" customHeight="false" outlineLevel="0" collapsed="false">
      <c r="A404" s="7" t="n">
        <v>37803</v>
      </c>
      <c r="B404" s="1" t="n">
        <v>0.0007</v>
      </c>
      <c r="C404" s="1" t="n">
        <v>0.0233</v>
      </c>
      <c r="D404" s="1" t="n">
        <v>0.0493</v>
      </c>
      <c r="E404" s="1" t="n">
        <v>-0.0153</v>
      </c>
      <c r="F404" s="1" t="n">
        <v>0.017932</v>
      </c>
      <c r="G404" s="1" t="n">
        <v>0.02837</v>
      </c>
      <c r="I404" s="1" t="n">
        <f aca="false">F404-$B404</f>
        <v>0.017232</v>
      </c>
      <c r="J404" s="1" t="n">
        <f aca="false">G404-$B404</f>
        <v>0.02767</v>
      </c>
    </row>
    <row r="405" customFormat="false" ht="15" hidden="false" customHeight="false" outlineLevel="0" collapsed="false">
      <c r="A405" s="7" t="n">
        <v>37834</v>
      </c>
      <c r="B405" s="1" t="n">
        <v>0.0007</v>
      </c>
      <c r="C405" s="1" t="n">
        <v>0.0233</v>
      </c>
      <c r="D405" s="1" t="n">
        <v>0.0244</v>
      </c>
      <c r="E405" s="1" t="n">
        <v>0.0164</v>
      </c>
      <c r="F405" s="1" t="n">
        <v>0.019597</v>
      </c>
      <c r="G405" s="1" t="n">
        <v>0.044604</v>
      </c>
      <c r="I405" s="1" t="n">
        <f aca="false">F405-$B405</f>
        <v>0.018897</v>
      </c>
      <c r="J405" s="1" t="n">
        <f aca="false">G405-$B405</f>
        <v>0.043904</v>
      </c>
    </row>
    <row r="406" customFormat="false" ht="15" hidden="false" customHeight="false" outlineLevel="0" collapsed="false">
      <c r="A406" s="7" t="n">
        <v>37865</v>
      </c>
      <c r="B406" s="1" t="n">
        <v>0.0008</v>
      </c>
      <c r="C406" s="1" t="n">
        <v>-0.0124</v>
      </c>
      <c r="D406" s="1" t="n">
        <v>0.0085</v>
      </c>
      <c r="E406" s="1" t="n">
        <v>0.0014</v>
      </c>
      <c r="F406" s="1" t="n">
        <v>-0.010737</v>
      </c>
      <c r="G406" s="1" t="n">
        <v>-0.016562</v>
      </c>
      <c r="I406" s="1" t="n">
        <f aca="false">F406-$B406</f>
        <v>-0.011537</v>
      </c>
      <c r="J406" s="1" t="n">
        <f aca="false">G406-$B406</f>
        <v>-0.017362</v>
      </c>
    </row>
    <row r="407" customFormat="false" ht="15" hidden="false" customHeight="false" outlineLevel="0" collapsed="false">
      <c r="A407" s="7" t="n">
        <v>37895</v>
      </c>
      <c r="B407" s="1" t="n">
        <v>0.0007</v>
      </c>
      <c r="C407" s="1" t="n">
        <v>0.0608</v>
      </c>
      <c r="D407" s="1" t="n">
        <v>0.0259</v>
      </c>
      <c r="E407" s="1" t="n">
        <v>0.0221</v>
      </c>
      <c r="F407" s="1" t="n">
        <v>0.05556</v>
      </c>
      <c r="G407" s="1" t="n">
        <v>0.070988</v>
      </c>
      <c r="I407" s="1" t="n">
        <f aca="false">F407-$B407</f>
        <v>0.05486</v>
      </c>
      <c r="J407" s="1" t="n">
        <f aca="false">G407-$B407</f>
        <v>0.070288</v>
      </c>
    </row>
    <row r="408" customFormat="false" ht="15" hidden="false" customHeight="false" outlineLevel="0" collapsed="false">
      <c r="A408" s="7" t="n">
        <v>37926</v>
      </c>
      <c r="B408" s="1" t="n">
        <v>0.0007</v>
      </c>
      <c r="C408" s="1" t="n">
        <v>0.0135</v>
      </c>
      <c r="D408" s="1" t="n">
        <v>0.0206</v>
      </c>
      <c r="E408" s="1" t="n">
        <v>0.0172</v>
      </c>
      <c r="F408" s="1" t="n">
        <v>0.009259</v>
      </c>
      <c r="G408" s="1" t="n">
        <v>0.021267</v>
      </c>
      <c r="I408" s="1" t="n">
        <f aca="false">F408-$B408</f>
        <v>0.008559</v>
      </c>
      <c r="J408" s="1" t="n">
        <f aca="false">G408-$B408</f>
        <v>0.020567</v>
      </c>
    </row>
    <row r="409" customFormat="false" ht="15" hidden="false" customHeight="false" outlineLevel="0" collapsed="false">
      <c r="A409" s="7" t="n">
        <v>37956</v>
      </c>
      <c r="B409" s="1" t="n">
        <v>0.0008</v>
      </c>
      <c r="C409" s="1" t="n">
        <v>0.0429</v>
      </c>
      <c r="D409" s="1" t="n">
        <v>-0.0268</v>
      </c>
      <c r="E409" s="1" t="n">
        <v>0.0151</v>
      </c>
      <c r="F409" s="1" t="n">
        <v>0.05178</v>
      </c>
      <c r="G409" s="1" t="n">
        <v>0.053166</v>
      </c>
      <c r="I409" s="1" t="n">
        <f aca="false">F409-$B409</f>
        <v>0.05098</v>
      </c>
      <c r="J409" s="1" t="n">
        <f aca="false">G409-$B409</f>
        <v>0.052366</v>
      </c>
    </row>
    <row r="410" customFormat="false" ht="15" hidden="false" customHeight="false" outlineLevel="0" collapsed="false">
      <c r="A410" s="7" t="n">
        <v>37987</v>
      </c>
      <c r="B410" s="1" t="n">
        <v>0.0007</v>
      </c>
      <c r="C410" s="1" t="n">
        <v>0.0215</v>
      </c>
      <c r="D410" s="1" t="n">
        <v>0.0254</v>
      </c>
      <c r="E410" s="1" t="n">
        <v>0.0242</v>
      </c>
      <c r="F410" s="1" t="n">
        <v>0.019078</v>
      </c>
      <c r="G410" s="1" t="n">
        <v>0.024212</v>
      </c>
      <c r="I410" s="1" t="n">
        <f aca="false">F410-$B410</f>
        <v>0.018378</v>
      </c>
      <c r="J410" s="1" t="n">
        <f aca="false">G410-$B410</f>
        <v>0.023512</v>
      </c>
    </row>
    <row r="411" customFormat="false" ht="15" hidden="false" customHeight="false" outlineLevel="0" collapsed="false">
      <c r="A411" s="7" t="n">
        <v>38018</v>
      </c>
      <c r="B411" s="1" t="n">
        <v>0.0006</v>
      </c>
      <c r="C411" s="1" t="n">
        <v>0.014</v>
      </c>
      <c r="D411" s="1" t="n">
        <v>-0.0157</v>
      </c>
      <c r="E411" s="1" t="n">
        <v>0.0095</v>
      </c>
      <c r="F411" s="1" t="n">
        <v>0.014403</v>
      </c>
      <c r="G411" s="1" t="n">
        <v>0.020902</v>
      </c>
      <c r="I411" s="1" t="n">
        <f aca="false">F411-$B411</f>
        <v>0.013803</v>
      </c>
      <c r="J411" s="1" t="n">
        <f aca="false">G411-$B411</f>
        <v>0.020302</v>
      </c>
    </row>
    <row r="412" customFormat="false" ht="15" hidden="false" customHeight="false" outlineLevel="0" collapsed="false">
      <c r="A412" s="7" t="n">
        <v>38047</v>
      </c>
      <c r="B412" s="1" t="n">
        <v>0.0009</v>
      </c>
      <c r="C412" s="1" t="n">
        <v>-0.0132</v>
      </c>
      <c r="D412" s="1" t="n">
        <v>0.0173</v>
      </c>
      <c r="E412" s="1" t="n">
        <v>0.0023</v>
      </c>
      <c r="F412" s="1" t="n">
        <v>-0.014982</v>
      </c>
      <c r="G412" s="1" t="n">
        <v>-0.00581</v>
      </c>
      <c r="I412" s="1" t="n">
        <f aca="false">F412-$B412</f>
        <v>-0.015882</v>
      </c>
      <c r="J412" s="1" t="n">
        <f aca="false">G412-$B412</f>
        <v>-0.00671</v>
      </c>
    </row>
    <row r="413" customFormat="false" ht="15" hidden="false" customHeight="false" outlineLevel="0" collapsed="false">
      <c r="A413" s="7" t="n">
        <v>38078</v>
      </c>
      <c r="B413" s="1" t="n">
        <v>0.0008</v>
      </c>
      <c r="C413" s="1" t="n">
        <v>-0.0181</v>
      </c>
      <c r="D413" s="1" t="n">
        <v>-0.0173</v>
      </c>
      <c r="E413" s="1" t="n">
        <v>-0.0323</v>
      </c>
      <c r="F413" s="1" t="n">
        <v>-0.015584</v>
      </c>
      <c r="G413" s="1" t="n">
        <v>-0.024546</v>
      </c>
      <c r="I413" s="1" t="n">
        <f aca="false">F413-$B413</f>
        <v>-0.016384</v>
      </c>
      <c r="J413" s="1" t="n">
        <f aca="false">G413-$B413</f>
        <v>-0.025346</v>
      </c>
    </row>
    <row r="414" customFormat="false" ht="15" hidden="false" customHeight="false" outlineLevel="0" collapsed="false">
      <c r="A414" s="7" t="n">
        <v>38108</v>
      </c>
      <c r="B414" s="1" t="n">
        <v>0.0006</v>
      </c>
      <c r="C414" s="1" t="n">
        <v>0.0118</v>
      </c>
      <c r="D414" s="1" t="n">
        <v>-0.0023</v>
      </c>
      <c r="E414" s="1" t="n">
        <v>-0.0018</v>
      </c>
      <c r="F414" s="1" t="n">
        <v>0.013629</v>
      </c>
      <c r="G414" s="1" t="n">
        <v>0.019374</v>
      </c>
      <c r="I414" s="1" t="n">
        <f aca="false">F414-$B414</f>
        <v>0.013029</v>
      </c>
      <c r="J414" s="1" t="n">
        <f aca="false">G414-$B414</f>
        <v>0.018774</v>
      </c>
    </row>
    <row r="415" customFormat="false" ht="15" hidden="false" customHeight="false" outlineLevel="0" collapsed="false">
      <c r="A415" s="7" t="n">
        <v>38139</v>
      </c>
      <c r="B415" s="1" t="n">
        <v>0.0008</v>
      </c>
      <c r="C415" s="1" t="n">
        <v>0.0185</v>
      </c>
      <c r="D415" s="1" t="n">
        <v>0.0225</v>
      </c>
      <c r="E415" s="1" t="n">
        <v>0.0121</v>
      </c>
      <c r="F415" s="1" t="n">
        <v>0.019489</v>
      </c>
      <c r="G415" s="1" t="n">
        <v>0.03032</v>
      </c>
      <c r="I415" s="1" t="n">
        <f aca="false">F415-$B415</f>
        <v>0.018689</v>
      </c>
      <c r="J415" s="1" t="n">
        <f aca="false">G415-$B415</f>
        <v>0.02952</v>
      </c>
    </row>
    <row r="416" customFormat="false" ht="15" hidden="false" customHeight="false" outlineLevel="0" collapsed="false">
      <c r="A416" s="7" t="n">
        <v>38169</v>
      </c>
      <c r="B416" s="1" t="n">
        <v>0.001</v>
      </c>
      <c r="C416" s="1" t="n">
        <v>-0.0404</v>
      </c>
      <c r="D416" s="1" t="n">
        <v>-0.0376</v>
      </c>
      <c r="E416" s="1" t="n">
        <v>0.0322</v>
      </c>
      <c r="F416" s="1" t="n">
        <v>-0.032954</v>
      </c>
      <c r="G416" s="1" t="n">
        <v>-0.043145</v>
      </c>
      <c r="I416" s="1" t="n">
        <f aca="false">F416-$B416</f>
        <v>-0.033954</v>
      </c>
      <c r="J416" s="1" t="n">
        <f aca="false">G416-$B416</f>
        <v>-0.044145</v>
      </c>
    </row>
    <row r="417" customFormat="false" ht="15" hidden="false" customHeight="false" outlineLevel="0" collapsed="false">
      <c r="A417" s="7" t="n">
        <v>38200</v>
      </c>
      <c r="B417" s="1" t="n">
        <v>0.0011</v>
      </c>
      <c r="C417" s="1" t="n">
        <v>0.0007</v>
      </c>
      <c r="D417" s="1" t="n">
        <v>-0.0152</v>
      </c>
      <c r="E417" s="1" t="n">
        <v>0.0108</v>
      </c>
      <c r="F417" s="1" t="n">
        <v>0.003807</v>
      </c>
      <c r="G417" s="1" t="n">
        <v>-0.002948</v>
      </c>
      <c r="I417" s="1" t="n">
        <f aca="false">F417-$B417</f>
        <v>0.002707</v>
      </c>
      <c r="J417" s="1" t="n">
        <f aca="false">G417-$B417</f>
        <v>-0.004048</v>
      </c>
    </row>
    <row r="418" customFormat="false" ht="15" hidden="false" customHeight="false" outlineLevel="0" collapsed="false">
      <c r="A418" s="7" t="n">
        <v>38231</v>
      </c>
      <c r="B418" s="1" t="n">
        <v>0.0011</v>
      </c>
      <c r="C418" s="1" t="n">
        <v>0.016</v>
      </c>
      <c r="D418" s="1" t="n">
        <v>0.0301</v>
      </c>
      <c r="E418" s="1" t="n">
        <v>-0.0005</v>
      </c>
      <c r="F418" s="1" t="n">
        <v>0.010817</v>
      </c>
      <c r="G418" s="1" t="n">
        <v>0.02757</v>
      </c>
      <c r="I418" s="1" t="n">
        <f aca="false">F418-$B418</f>
        <v>0.009717</v>
      </c>
      <c r="J418" s="1" t="n">
        <f aca="false">G418-$B418</f>
        <v>0.02647</v>
      </c>
    </row>
    <row r="419" customFormat="false" ht="15" hidden="false" customHeight="false" outlineLevel="0" collapsed="false">
      <c r="A419" s="7" t="n">
        <v>38261</v>
      </c>
      <c r="B419" s="1" t="n">
        <v>0.0011</v>
      </c>
      <c r="C419" s="1" t="n">
        <v>0.0142</v>
      </c>
      <c r="D419" s="1" t="n">
        <v>0.0013</v>
      </c>
      <c r="E419" s="1" t="n">
        <v>-0.0026</v>
      </c>
      <c r="F419" s="1" t="n">
        <v>0.014973</v>
      </c>
      <c r="G419" s="1" t="n">
        <v>0.024507</v>
      </c>
      <c r="I419" s="1" t="n">
        <f aca="false">F419-$B419</f>
        <v>0.013873</v>
      </c>
      <c r="J419" s="1" t="n">
        <f aca="false">G419-$B419</f>
        <v>0.023407</v>
      </c>
    </row>
    <row r="420" customFormat="false" ht="15" hidden="false" customHeight="false" outlineLevel="0" collapsed="false">
      <c r="A420" s="7" t="n">
        <v>38292</v>
      </c>
      <c r="B420" s="1" t="n">
        <v>0.0015</v>
      </c>
      <c r="C420" s="1" t="n">
        <v>0.0453</v>
      </c>
      <c r="D420" s="1" t="n">
        <v>0.0374</v>
      </c>
      <c r="E420" s="1" t="n">
        <v>0.0157</v>
      </c>
      <c r="F420" s="1" t="n">
        <v>0.040559</v>
      </c>
      <c r="G420" s="1" t="n">
        <v>0.058717</v>
      </c>
      <c r="I420" s="1" t="n">
        <f aca="false">F420-$B420</f>
        <v>0.039059</v>
      </c>
      <c r="J420" s="1" t="n">
        <f aca="false">G420-$B420</f>
        <v>0.057217</v>
      </c>
    </row>
    <row r="421" customFormat="false" ht="15" hidden="false" customHeight="false" outlineLevel="0" collapsed="false">
      <c r="A421" s="7" t="n">
        <v>38322</v>
      </c>
      <c r="B421" s="1" t="n">
        <v>0.0016</v>
      </c>
      <c r="C421" s="1" t="n">
        <v>0.0342</v>
      </c>
      <c r="D421" s="1" t="n">
        <v>-0.0003</v>
      </c>
      <c r="E421" s="1" t="n">
        <v>-0.0023</v>
      </c>
      <c r="F421" s="1" t="n">
        <v>0.033734</v>
      </c>
      <c r="G421" s="1" t="n">
        <v>0.037578</v>
      </c>
      <c r="I421" s="1" t="n">
        <f aca="false">F421-$B421</f>
        <v>0.032134</v>
      </c>
      <c r="J421" s="1" t="n">
        <f aca="false">G421-$B421</f>
        <v>0.035978</v>
      </c>
    </row>
    <row r="422" customFormat="false" ht="15" hidden="false" customHeight="false" outlineLevel="0" collapsed="false">
      <c r="A422" s="7" t="n">
        <v>38353</v>
      </c>
      <c r="B422" s="1" t="n">
        <v>0.0016</v>
      </c>
      <c r="C422" s="1" t="n">
        <v>-0.0275</v>
      </c>
      <c r="D422" s="1" t="n">
        <v>-0.0166</v>
      </c>
      <c r="E422" s="1" t="n">
        <v>0.0206</v>
      </c>
      <c r="F422" s="1" t="n">
        <v>-0.023824</v>
      </c>
      <c r="G422" s="1" t="n">
        <v>-0.029473</v>
      </c>
      <c r="I422" s="1" t="n">
        <f aca="false">F422-$B422</f>
        <v>-0.025424</v>
      </c>
      <c r="J422" s="1" t="n">
        <f aca="false">G422-$B422</f>
        <v>-0.031073</v>
      </c>
    </row>
    <row r="423" customFormat="false" ht="15" hidden="false" customHeight="false" outlineLevel="0" collapsed="false">
      <c r="A423" s="7" t="n">
        <v>38384</v>
      </c>
      <c r="B423" s="1" t="n">
        <v>0.0016</v>
      </c>
      <c r="C423" s="1" t="n">
        <v>0.0188</v>
      </c>
      <c r="D423" s="1" t="n">
        <v>-0.0057</v>
      </c>
      <c r="E423" s="1" t="n">
        <v>0.0141</v>
      </c>
      <c r="F423" s="1" t="n">
        <v>0.021152</v>
      </c>
      <c r="G423" s="1" t="n">
        <v>0.020327</v>
      </c>
      <c r="I423" s="1" t="n">
        <f aca="false">F423-$B423</f>
        <v>0.019552</v>
      </c>
      <c r="J423" s="1" t="n">
        <f aca="false">G423-$B423</f>
        <v>0.018727</v>
      </c>
    </row>
    <row r="424" customFormat="false" ht="15" hidden="false" customHeight="false" outlineLevel="0" collapsed="false">
      <c r="A424" s="7" t="n">
        <v>38412</v>
      </c>
      <c r="B424" s="1" t="n">
        <v>0.0021</v>
      </c>
      <c r="C424" s="1" t="n">
        <v>-0.0194</v>
      </c>
      <c r="D424" s="1" t="n">
        <v>-0.0141</v>
      </c>
      <c r="E424" s="1" t="n">
        <v>0.0207</v>
      </c>
      <c r="F424" s="1" t="n">
        <v>-0.01724</v>
      </c>
      <c r="G424" s="1" t="n">
        <v>-0.012797</v>
      </c>
      <c r="I424" s="1" t="n">
        <f aca="false">F424-$B424</f>
        <v>-0.01934</v>
      </c>
      <c r="J424" s="1" t="n">
        <f aca="false">G424-$B424</f>
        <v>-0.014897</v>
      </c>
    </row>
    <row r="425" customFormat="false" ht="15" hidden="false" customHeight="false" outlineLevel="0" collapsed="false">
      <c r="A425" s="7" t="n">
        <v>38443</v>
      </c>
      <c r="B425" s="1" t="n">
        <v>0.0021</v>
      </c>
      <c r="C425" s="1" t="n">
        <v>-0.0261</v>
      </c>
      <c r="D425" s="1" t="n">
        <v>-0.0393</v>
      </c>
      <c r="E425" s="1" t="n">
        <v>0.0005</v>
      </c>
      <c r="F425" s="1" t="n">
        <v>-0.018926</v>
      </c>
      <c r="G425" s="1" t="n">
        <v>-0.030961</v>
      </c>
      <c r="I425" s="1" t="n">
        <f aca="false">F425-$B425</f>
        <v>-0.021026</v>
      </c>
      <c r="J425" s="1" t="n">
        <f aca="false">G425-$B425</f>
        <v>-0.033061</v>
      </c>
    </row>
    <row r="426" customFormat="false" ht="15" hidden="false" customHeight="false" outlineLevel="0" collapsed="false">
      <c r="A426" s="7" t="n">
        <v>38473</v>
      </c>
      <c r="B426" s="1" t="n">
        <v>0.0024</v>
      </c>
      <c r="C426" s="1" t="n">
        <v>0.0365</v>
      </c>
      <c r="D426" s="1" t="n">
        <v>0.0286</v>
      </c>
      <c r="E426" s="1" t="n">
        <v>-0.0058</v>
      </c>
      <c r="F426" s="1" t="n">
        <v>0.031994</v>
      </c>
      <c r="G426" s="1" t="n">
        <v>0.048563</v>
      </c>
      <c r="I426" s="1" t="n">
        <f aca="false">F426-$B426</f>
        <v>0.029594</v>
      </c>
      <c r="J426" s="1" t="n">
        <f aca="false">G426-$B426</f>
        <v>0.046163</v>
      </c>
    </row>
    <row r="427" customFormat="false" ht="15" hidden="false" customHeight="false" outlineLevel="0" collapsed="false">
      <c r="A427" s="7" t="n">
        <v>38504</v>
      </c>
      <c r="B427" s="1" t="n">
        <v>0.0023</v>
      </c>
      <c r="C427" s="1" t="n">
        <v>0.0058</v>
      </c>
      <c r="D427" s="1" t="n">
        <v>0.0256</v>
      </c>
      <c r="E427" s="1" t="n">
        <v>0.028</v>
      </c>
      <c r="F427" s="1" t="n">
        <v>0.001717</v>
      </c>
      <c r="G427" s="1" t="n">
        <v>0.014499</v>
      </c>
      <c r="I427" s="1" t="n">
        <f aca="false">F427-$B427</f>
        <v>-0.000583</v>
      </c>
      <c r="J427" s="1" t="n">
        <f aca="false">G427-$B427</f>
        <v>0.012199</v>
      </c>
    </row>
    <row r="428" customFormat="false" ht="15" hidden="false" customHeight="false" outlineLevel="0" collapsed="false">
      <c r="A428" s="7" t="n">
        <v>38534</v>
      </c>
      <c r="B428" s="1" t="n">
        <v>0.0024</v>
      </c>
      <c r="C428" s="1" t="n">
        <v>0.0392</v>
      </c>
      <c r="D428" s="1" t="n">
        <v>0.0287</v>
      </c>
      <c r="E428" s="1" t="n">
        <v>-0.0078</v>
      </c>
      <c r="F428" s="1" t="n">
        <v>0.037364</v>
      </c>
      <c r="G428" s="1" t="n">
        <v>0.051383</v>
      </c>
      <c r="I428" s="1" t="n">
        <f aca="false">F428-$B428</f>
        <v>0.034964</v>
      </c>
      <c r="J428" s="1" t="n">
        <f aca="false">G428-$B428</f>
        <v>0.048983</v>
      </c>
    </row>
    <row r="429" customFormat="false" ht="15" hidden="false" customHeight="false" outlineLevel="0" collapsed="false">
      <c r="A429" s="7" t="n">
        <v>38565</v>
      </c>
      <c r="B429" s="1" t="n">
        <v>0.003</v>
      </c>
      <c r="C429" s="1" t="n">
        <v>-0.012</v>
      </c>
      <c r="D429" s="1" t="n">
        <v>-0.0107</v>
      </c>
      <c r="E429" s="1" t="n">
        <v>0.0134</v>
      </c>
      <c r="F429" s="1" t="n">
        <v>-0.009159</v>
      </c>
      <c r="G429" s="1" t="n">
        <v>-0.009789</v>
      </c>
      <c r="I429" s="1" t="n">
        <f aca="false">F429-$B429</f>
        <v>-0.012159</v>
      </c>
      <c r="J429" s="1" t="n">
        <f aca="false">G429-$B429</f>
        <v>-0.012789</v>
      </c>
    </row>
    <row r="430" customFormat="false" ht="15" hidden="false" customHeight="false" outlineLevel="0" collapsed="false">
      <c r="A430" s="7" t="n">
        <v>38596</v>
      </c>
      <c r="B430" s="1" t="n">
        <v>0.0029</v>
      </c>
      <c r="C430" s="1" t="n">
        <v>0.0048</v>
      </c>
      <c r="D430" s="1" t="n">
        <v>-0.0062</v>
      </c>
      <c r="E430" s="1" t="n">
        <v>0.0078</v>
      </c>
      <c r="F430" s="1" t="n">
        <v>0.008067</v>
      </c>
      <c r="G430" s="1" t="n">
        <v>0.008281</v>
      </c>
      <c r="I430" s="1" t="n">
        <f aca="false">F430-$B430</f>
        <v>0.005167</v>
      </c>
      <c r="J430" s="1" t="n">
        <f aca="false">G430-$B430</f>
        <v>0.005381</v>
      </c>
    </row>
    <row r="431" customFormat="false" ht="15" hidden="false" customHeight="false" outlineLevel="0" collapsed="false">
      <c r="A431" s="7" t="n">
        <v>38626</v>
      </c>
      <c r="B431" s="1" t="n">
        <v>0.0027</v>
      </c>
      <c r="C431" s="1" t="n">
        <v>-0.0204</v>
      </c>
      <c r="D431" s="1" t="n">
        <v>-0.013</v>
      </c>
      <c r="E431" s="1" t="n">
        <v>0.0043</v>
      </c>
      <c r="F431" s="1" t="n">
        <v>-0.015672</v>
      </c>
      <c r="G431" s="1" t="n">
        <v>-0.023467</v>
      </c>
      <c r="I431" s="1" t="n">
        <f aca="false">F431-$B431</f>
        <v>-0.018372</v>
      </c>
      <c r="J431" s="1" t="n">
        <f aca="false">G431-$B431</f>
        <v>-0.026167</v>
      </c>
    </row>
    <row r="432" customFormat="false" ht="15" hidden="false" customHeight="false" outlineLevel="0" collapsed="false">
      <c r="A432" s="7" t="n">
        <v>38657</v>
      </c>
      <c r="B432" s="1" t="n">
        <v>0.0031</v>
      </c>
      <c r="C432" s="1" t="n">
        <v>0.0361</v>
      </c>
      <c r="D432" s="1" t="n">
        <v>0.0105</v>
      </c>
      <c r="E432" s="1" t="n">
        <v>-0.0119</v>
      </c>
      <c r="F432" s="1" t="n">
        <v>0.038289</v>
      </c>
      <c r="G432" s="1" t="n">
        <v>0.043744</v>
      </c>
      <c r="I432" s="1" t="n">
        <f aca="false">F432-$B432</f>
        <v>0.035189</v>
      </c>
      <c r="J432" s="1" t="n">
        <f aca="false">G432-$B432</f>
        <v>0.040644</v>
      </c>
    </row>
    <row r="433" customFormat="false" ht="15" hidden="false" customHeight="false" outlineLevel="0" collapsed="false">
      <c r="A433" s="7" t="n">
        <v>38687</v>
      </c>
      <c r="B433" s="1" t="n">
        <v>0.0032</v>
      </c>
      <c r="C433" s="1" t="n">
        <v>-0.0024</v>
      </c>
      <c r="D433" s="1" t="n">
        <v>-0.0044</v>
      </c>
      <c r="E433" s="1" t="n">
        <v>0.0015</v>
      </c>
      <c r="F433" s="1" t="n">
        <v>-6E-005</v>
      </c>
      <c r="G433" s="1" t="n">
        <v>0.008022</v>
      </c>
      <c r="I433" s="1" t="n">
        <f aca="false">F433-$B433</f>
        <v>-0.00326</v>
      </c>
      <c r="J433" s="1" t="n">
        <f aca="false">G433-$B433</f>
        <v>0.004822</v>
      </c>
    </row>
    <row r="434" customFormat="false" ht="15" hidden="false" customHeight="false" outlineLevel="0" collapsed="false">
      <c r="A434" s="7" t="n">
        <v>38718</v>
      </c>
      <c r="B434" s="1" t="n">
        <v>0.0035</v>
      </c>
      <c r="C434" s="1" t="n">
        <v>0.0303</v>
      </c>
      <c r="D434" s="1" t="n">
        <v>0.0546</v>
      </c>
      <c r="E434" s="1" t="n">
        <v>0.0099</v>
      </c>
      <c r="F434" s="1" t="n">
        <v>0.026442</v>
      </c>
      <c r="G434" s="1" t="n">
        <v>0.041378</v>
      </c>
      <c r="I434" s="1" t="n">
        <f aca="false">F434-$B434</f>
        <v>0.022942</v>
      </c>
      <c r="J434" s="1" t="n">
        <f aca="false">G434-$B434</f>
        <v>0.037878</v>
      </c>
    </row>
    <row r="435" customFormat="false" ht="15" hidden="false" customHeight="false" outlineLevel="0" collapsed="false">
      <c r="A435" s="7" t="n">
        <v>38749</v>
      </c>
      <c r="B435" s="1" t="n">
        <v>0.0034</v>
      </c>
      <c r="C435" s="1" t="n">
        <v>-0.003</v>
      </c>
      <c r="D435" s="1" t="n">
        <v>-0.0041</v>
      </c>
      <c r="E435" s="1" t="n">
        <v>-0.0031</v>
      </c>
      <c r="F435" s="1" t="n">
        <v>0.002425</v>
      </c>
      <c r="G435" s="1" t="n">
        <v>0.002951</v>
      </c>
      <c r="I435" s="1" t="n">
        <f aca="false">F435-$B435</f>
        <v>-0.000975</v>
      </c>
      <c r="J435" s="1" t="n">
        <f aca="false">G435-$B435</f>
        <v>-0.000449</v>
      </c>
    </row>
    <row r="436" customFormat="false" ht="15" hidden="false" customHeight="false" outlineLevel="0" collapsed="false">
      <c r="A436" s="7" t="n">
        <v>38777</v>
      </c>
      <c r="B436" s="1" t="n">
        <v>0.0037</v>
      </c>
      <c r="C436" s="1" t="n">
        <v>0.0147</v>
      </c>
      <c r="D436" s="1" t="n">
        <v>0.0339</v>
      </c>
      <c r="E436" s="1" t="n">
        <v>0.0061</v>
      </c>
      <c r="F436" s="1" t="n">
        <v>0.012909</v>
      </c>
      <c r="G436" s="1" t="n">
        <v>0.017915</v>
      </c>
      <c r="I436" s="1" t="n">
        <f aca="false">F436-$B436</f>
        <v>0.009209</v>
      </c>
      <c r="J436" s="1" t="n">
        <f aca="false">G436-$B436</f>
        <v>0.014215</v>
      </c>
    </row>
    <row r="437" customFormat="false" ht="15" hidden="false" customHeight="false" outlineLevel="0" collapsed="false">
      <c r="A437" s="7" t="n">
        <v>38808</v>
      </c>
      <c r="B437" s="1" t="n">
        <v>0.0036</v>
      </c>
      <c r="C437" s="1" t="n">
        <v>0.0073</v>
      </c>
      <c r="D437" s="1" t="n">
        <v>-0.0138</v>
      </c>
      <c r="E437" s="1" t="n">
        <v>0.0226</v>
      </c>
      <c r="F437" s="1" t="n">
        <v>0.012064</v>
      </c>
      <c r="G437" s="1" t="n">
        <v>0.010538</v>
      </c>
      <c r="I437" s="1" t="n">
        <f aca="false">F437-$B437</f>
        <v>0.008464</v>
      </c>
      <c r="J437" s="1" t="n">
        <f aca="false">G437-$B437</f>
        <v>0.006938</v>
      </c>
    </row>
    <row r="438" customFormat="false" ht="15" hidden="false" customHeight="false" outlineLevel="0" collapsed="false">
      <c r="A438" s="7" t="n">
        <v>38838</v>
      </c>
      <c r="B438" s="1" t="n">
        <v>0.0043</v>
      </c>
      <c r="C438" s="1" t="n">
        <v>-0.0356</v>
      </c>
      <c r="D438" s="1" t="n">
        <v>-0.0301</v>
      </c>
      <c r="E438" s="1" t="n">
        <v>0.0238</v>
      </c>
      <c r="F438" s="1" t="n">
        <v>-0.028319</v>
      </c>
      <c r="G438" s="1" t="n">
        <v>-0.028304</v>
      </c>
      <c r="I438" s="1" t="n">
        <f aca="false">F438-$B438</f>
        <v>-0.032619</v>
      </c>
      <c r="J438" s="1" t="n">
        <f aca="false">G438-$B438</f>
        <v>-0.032604</v>
      </c>
    </row>
    <row r="439" customFormat="false" ht="15" hidden="false" customHeight="false" outlineLevel="0" collapsed="false">
      <c r="A439" s="7" t="n">
        <v>38869</v>
      </c>
      <c r="B439" s="1" t="n">
        <v>0.004</v>
      </c>
      <c r="C439" s="1" t="n">
        <v>-0.0035</v>
      </c>
      <c r="D439" s="1" t="n">
        <v>-0.0035</v>
      </c>
      <c r="E439" s="1" t="n">
        <v>0.0085</v>
      </c>
      <c r="F439" s="1" t="n">
        <v>0.001587</v>
      </c>
      <c r="G439" s="1" t="n">
        <v>-0.00196</v>
      </c>
      <c r="I439" s="1" t="n">
        <f aca="false">F439-$B439</f>
        <v>-0.002413</v>
      </c>
      <c r="J439" s="1" t="n">
        <f aca="false">G439-$B439</f>
        <v>-0.00596</v>
      </c>
    </row>
    <row r="440" customFormat="false" ht="15" hidden="false" customHeight="false" outlineLevel="0" collapsed="false">
      <c r="A440" s="7" t="n">
        <v>38899</v>
      </c>
      <c r="B440" s="1" t="n">
        <v>0.004</v>
      </c>
      <c r="C440" s="1" t="n">
        <v>-0.0077</v>
      </c>
      <c r="D440" s="1" t="n">
        <v>-0.0395</v>
      </c>
      <c r="E440" s="1" t="n">
        <v>0.0262</v>
      </c>
      <c r="F440" s="1" t="n">
        <v>0.005571</v>
      </c>
      <c r="G440" s="1" t="n">
        <v>-0.014294</v>
      </c>
      <c r="I440" s="1" t="n">
        <f aca="false">F440-$B440</f>
        <v>0.001571</v>
      </c>
      <c r="J440" s="1" t="n">
        <f aca="false">G440-$B440</f>
        <v>-0.018294</v>
      </c>
    </row>
    <row r="441" customFormat="false" ht="15" hidden="false" customHeight="false" outlineLevel="0" collapsed="false">
      <c r="A441" s="7" t="n">
        <v>38930</v>
      </c>
      <c r="B441" s="1" t="n">
        <v>0.0042</v>
      </c>
      <c r="C441" s="1" t="n">
        <v>0.0203</v>
      </c>
      <c r="D441" s="1" t="n">
        <v>0.0099</v>
      </c>
      <c r="E441" s="1" t="n">
        <v>-0.0195</v>
      </c>
      <c r="F441" s="1" t="n">
        <v>0.02415</v>
      </c>
      <c r="G441" s="1" t="n">
        <v>0.03042</v>
      </c>
      <c r="I441" s="1" t="n">
        <f aca="false">F441-$B441</f>
        <v>0.01995</v>
      </c>
      <c r="J441" s="1" t="n">
        <f aca="false">G441-$B441</f>
        <v>0.02622</v>
      </c>
    </row>
    <row r="442" customFormat="false" ht="15" hidden="false" customHeight="false" outlineLevel="0" collapsed="false">
      <c r="A442" s="7" t="n">
        <v>38961</v>
      </c>
      <c r="B442" s="1" t="n">
        <v>0.0041</v>
      </c>
      <c r="C442" s="1" t="n">
        <v>0.0184</v>
      </c>
      <c r="D442" s="1" t="n">
        <v>-0.013</v>
      </c>
      <c r="E442" s="1" t="n">
        <v>0.0006</v>
      </c>
      <c r="F442" s="1" t="n">
        <v>0.026487</v>
      </c>
      <c r="G442" s="1" t="n">
        <v>0.026354</v>
      </c>
      <c r="I442" s="1" t="n">
        <f aca="false">F442-$B442</f>
        <v>0.022387</v>
      </c>
      <c r="J442" s="1" t="n">
        <f aca="false">G442-$B442</f>
        <v>0.022254</v>
      </c>
    </row>
    <row r="443" customFormat="false" ht="15" hidden="false" customHeight="false" outlineLevel="0" collapsed="false">
      <c r="A443" s="7" t="n">
        <v>38991</v>
      </c>
      <c r="B443" s="1" t="n">
        <v>0.0041</v>
      </c>
      <c r="C443" s="1" t="n">
        <v>0.0322</v>
      </c>
      <c r="D443" s="1" t="n">
        <v>0.0177</v>
      </c>
      <c r="E443" s="1" t="n">
        <v>-0.0033</v>
      </c>
      <c r="F443" s="1" t="n">
        <v>0.032527</v>
      </c>
      <c r="G443" s="1" t="n">
        <v>0.036768</v>
      </c>
      <c r="I443" s="1" t="n">
        <f aca="false">F443-$B443</f>
        <v>0.028427</v>
      </c>
      <c r="J443" s="1" t="n">
        <f aca="false">G443-$B443</f>
        <v>0.032668</v>
      </c>
    </row>
    <row r="444" customFormat="false" ht="15" hidden="false" customHeight="false" outlineLevel="0" collapsed="false">
      <c r="A444" s="7" t="n">
        <v>39022</v>
      </c>
      <c r="B444" s="1" t="n">
        <v>0.0042</v>
      </c>
      <c r="C444" s="1" t="n">
        <v>0.017</v>
      </c>
      <c r="D444" s="1" t="n">
        <v>0.0063</v>
      </c>
      <c r="E444" s="1" t="n">
        <v>0.0004</v>
      </c>
      <c r="F444" s="1" t="n">
        <v>0.018385</v>
      </c>
      <c r="G444" s="1" t="n">
        <v>0.025339</v>
      </c>
      <c r="I444" s="1" t="n">
        <f aca="false">F444-$B444</f>
        <v>0.014185</v>
      </c>
      <c r="J444" s="1" t="n">
        <f aca="false">G444-$B444</f>
        <v>0.021139</v>
      </c>
    </row>
    <row r="445" customFormat="false" ht="15" hidden="false" customHeight="false" outlineLevel="0" collapsed="false">
      <c r="A445" s="7" t="n">
        <v>39052</v>
      </c>
      <c r="B445" s="1" t="n">
        <v>0.004</v>
      </c>
      <c r="C445" s="1" t="n">
        <v>0.0085</v>
      </c>
      <c r="D445" s="1" t="n">
        <v>-0.0116</v>
      </c>
      <c r="E445" s="1" t="n">
        <v>0.0274</v>
      </c>
      <c r="F445" s="1" t="n">
        <v>0.013768</v>
      </c>
      <c r="G445" s="1" t="n">
        <v>0.008267</v>
      </c>
      <c r="I445" s="1" t="n">
        <f aca="false">F445-$B445</f>
        <v>0.009768</v>
      </c>
      <c r="J445" s="1" t="n">
        <f aca="false">G445-$B445</f>
        <v>0.004267</v>
      </c>
    </row>
    <row r="446" customFormat="false" ht="15" hidden="false" customHeight="false" outlineLevel="0" collapsed="false">
      <c r="A446" s="7" t="n">
        <v>39083</v>
      </c>
      <c r="B446" s="1" t="n">
        <v>0.0044</v>
      </c>
      <c r="C446" s="1" t="n">
        <v>0.0138</v>
      </c>
      <c r="D446" s="1" t="n">
        <v>0.0009</v>
      </c>
      <c r="E446" s="1" t="n">
        <v>-0.0068</v>
      </c>
      <c r="F446" s="1" t="n">
        <v>0.015313</v>
      </c>
      <c r="G446" s="1" t="n">
        <v>0.023825</v>
      </c>
      <c r="I446" s="1" t="n">
        <f aca="false">F446-$B446</f>
        <v>0.010913</v>
      </c>
      <c r="J446" s="1" t="n">
        <f aca="false">G446-$B446</f>
        <v>0.019425</v>
      </c>
    </row>
    <row r="447" customFormat="false" ht="15" hidden="false" customHeight="false" outlineLevel="0" collapsed="false">
      <c r="A447" s="7" t="n">
        <v>39114</v>
      </c>
      <c r="B447" s="1" t="n">
        <v>0.0038</v>
      </c>
      <c r="C447" s="1" t="n">
        <v>-0.0196</v>
      </c>
      <c r="D447" s="1" t="n">
        <v>0.0123</v>
      </c>
      <c r="E447" s="1" t="n">
        <v>-0.0008</v>
      </c>
      <c r="F447" s="1" t="n">
        <v>-0.019288</v>
      </c>
      <c r="G447" s="1" t="n">
        <v>-0.003043</v>
      </c>
      <c r="I447" s="1" t="n">
        <f aca="false">F447-$B447</f>
        <v>-0.023088</v>
      </c>
      <c r="J447" s="1" t="n">
        <f aca="false">G447-$B447</f>
        <v>-0.006843</v>
      </c>
    </row>
    <row r="448" customFormat="false" ht="15" hidden="false" customHeight="false" outlineLevel="0" collapsed="false">
      <c r="A448" s="7" t="n">
        <v>39142</v>
      </c>
      <c r="B448" s="1" t="n">
        <v>0.0043</v>
      </c>
      <c r="C448" s="1" t="n">
        <v>0.0071</v>
      </c>
      <c r="D448" s="1" t="n">
        <v>0.0009</v>
      </c>
      <c r="E448" s="1" t="n">
        <v>-0.0088</v>
      </c>
      <c r="F448" s="1" t="n">
        <v>0.010894</v>
      </c>
      <c r="G448" s="1" t="n">
        <v>0.007339</v>
      </c>
      <c r="I448" s="1" t="n">
        <f aca="false">F448-$B448</f>
        <v>0.006594</v>
      </c>
      <c r="J448" s="1" t="n">
        <f aca="false">G448-$B448</f>
        <v>0.003039</v>
      </c>
    </row>
    <row r="449" customFormat="false" ht="15" hidden="false" customHeight="false" outlineLevel="0" collapsed="false">
      <c r="A449" s="7" t="n">
        <v>39173</v>
      </c>
      <c r="B449" s="1" t="n">
        <v>0.0044</v>
      </c>
      <c r="C449" s="1" t="n">
        <v>0.0349</v>
      </c>
      <c r="D449" s="1" t="n">
        <v>-0.0221</v>
      </c>
      <c r="E449" s="1" t="n">
        <v>-0.0144</v>
      </c>
      <c r="F449" s="1" t="n">
        <v>0.043991</v>
      </c>
      <c r="G449" s="1" t="n">
        <v>0.043294</v>
      </c>
      <c r="I449" s="1" t="n">
        <f aca="false">F449-$B449</f>
        <v>0.039591</v>
      </c>
      <c r="J449" s="1" t="n">
        <f aca="false">G449-$B449</f>
        <v>0.038894</v>
      </c>
    </row>
    <row r="450" customFormat="false" ht="15" hidden="false" customHeight="false" outlineLevel="0" collapsed="false">
      <c r="A450" s="7" t="n">
        <v>39203</v>
      </c>
      <c r="B450" s="1" t="n">
        <v>0.0041</v>
      </c>
      <c r="C450" s="1" t="n">
        <v>0.0323</v>
      </c>
      <c r="D450" s="1" t="n">
        <v>0.0016</v>
      </c>
      <c r="E450" s="1" t="n">
        <v>-0.0059</v>
      </c>
      <c r="F450" s="1" t="n">
        <v>0.034459</v>
      </c>
      <c r="G450" s="1" t="n">
        <v>0.03255</v>
      </c>
      <c r="I450" s="1" t="n">
        <f aca="false">F450-$B450</f>
        <v>0.030359</v>
      </c>
      <c r="J450" s="1" t="n">
        <f aca="false">G450-$B450</f>
        <v>0.02845</v>
      </c>
    </row>
    <row r="451" customFormat="false" ht="15" hidden="false" customHeight="false" outlineLevel="0" collapsed="false">
      <c r="A451" s="7" t="n">
        <v>39234</v>
      </c>
      <c r="B451" s="1" t="n">
        <v>0.004</v>
      </c>
      <c r="C451" s="1" t="n">
        <v>-0.0196</v>
      </c>
      <c r="D451" s="1" t="n">
        <v>0.0073</v>
      </c>
      <c r="E451" s="1" t="n">
        <v>-0.0105</v>
      </c>
      <c r="F451" s="1" t="n">
        <v>-0.01662</v>
      </c>
      <c r="G451" s="1" t="n">
        <v>-0.018468</v>
      </c>
      <c r="I451" s="1" t="n">
        <f aca="false">F451-$B451</f>
        <v>-0.02062</v>
      </c>
      <c r="J451" s="1" t="n">
        <f aca="false">G451-$B451</f>
        <v>-0.022468</v>
      </c>
    </row>
    <row r="452" customFormat="false" ht="15" hidden="false" customHeight="false" outlineLevel="0" collapsed="false">
      <c r="A452" s="7" t="n">
        <v>39264</v>
      </c>
      <c r="B452" s="1" t="n">
        <v>0.004</v>
      </c>
      <c r="C452" s="1" t="n">
        <v>-0.0372</v>
      </c>
      <c r="D452" s="1" t="n">
        <v>-0.0266</v>
      </c>
      <c r="E452" s="1" t="n">
        <v>-0.0368</v>
      </c>
      <c r="F452" s="1" t="n">
        <v>-0.031197</v>
      </c>
      <c r="G452" s="1" t="n">
        <v>-0.045079</v>
      </c>
      <c r="I452" s="1" t="n">
        <f aca="false">F452-$B452</f>
        <v>-0.035197</v>
      </c>
      <c r="J452" s="1" t="n">
        <f aca="false">G452-$B452</f>
        <v>-0.049079</v>
      </c>
    </row>
    <row r="453" customFormat="false" ht="15" hidden="false" customHeight="false" outlineLevel="0" collapsed="false">
      <c r="A453" s="7" t="n">
        <v>39295</v>
      </c>
      <c r="B453" s="1" t="n">
        <v>0.0042</v>
      </c>
      <c r="C453" s="1" t="n">
        <v>0.0094</v>
      </c>
      <c r="D453" s="1" t="n">
        <v>-0.0011</v>
      </c>
      <c r="E453" s="1" t="n">
        <v>-0.0187</v>
      </c>
      <c r="F453" s="1" t="n">
        <v>0.015094</v>
      </c>
      <c r="G453" s="1" t="n">
        <v>0.000895</v>
      </c>
      <c r="I453" s="1" t="n">
        <f aca="false">F453-$B453</f>
        <v>0.010894</v>
      </c>
      <c r="J453" s="1" t="n">
        <f aca="false">G453-$B453</f>
        <v>-0.003305</v>
      </c>
    </row>
    <row r="454" customFormat="false" ht="15" hidden="false" customHeight="false" outlineLevel="0" collapsed="false">
      <c r="A454" s="7" t="n">
        <v>39326</v>
      </c>
      <c r="B454" s="1" t="n">
        <v>0.0032</v>
      </c>
      <c r="C454" s="1" t="n">
        <v>0.0322</v>
      </c>
      <c r="D454" s="1" t="n">
        <v>-0.0225</v>
      </c>
      <c r="E454" s="1" t="n">
        <v>-0.0217</v>
      </c>
      <c r="F454" s="1" t="n">
        <v>0.037468</v>
      </c>
      <c r="G454" s="1" t="n">
        <v>0.024308</v>
      </c>
      <c r="I454" s="1" t="n">
        <f aca="false">F454-$B454</f>
        <v>0.034268</v>
      </c>
      <c r="J454" s="1" t="n">
        <f aca="false">G454-$B454</f>
        <v>0.021108</v>
      </c>
    </row>
    <row r="455" customFormat="false" ht="15" hidden="false" customHeight="false" outlineLevel="0" collapsed="false">
      <c r="A455" s="7" t="n">
        <v>39356</v>
      </c>
      <c r="B455" s="1" t="n">
        <v>0.0032</v>
      </c>
      <c r="C455" s="1" t="n">
        <v>0.0179</v>
      </c>
      <c r="D455" s="1" t="n">
        <v>0.0019</v>
      </c>
      <c r="E455" s="1" t="n">
        <v>-0.0287</v>
      </c>
      <c r="F455" s="1" t="n">
        <v>0.01736</v>
      </c>
      <c r="G455" s="1" t="n">
        <v>0.013447</v>
      </c>
      <c r="I455" s="1" t="n">
        <f aca="false">F455-$B455</f>
        <v>0.01416</v>
      </c>
      <c r="J455" s="1" t="n">
        <f aca="false">G455-$B455</f>
        <v>0.010247</v>
      </c>
    </row>
    <row r="456" customFormat="false" ht="15" hidden="false" customHeight="false" outlineLevel="0" collapsed="false">
      <c r="A456" s="7" t="n">
        <v>39387</v>
      </c>
      <c r="B456" s="1" t="n">
        <v>0.0034</v>
      </c>
      <c r="C456" s="1" t="n">
        <v>-0.048</v>
      </c>
      <c r="D456" s="1" t="n">
        <v>-0.0281</v>
      </c>
      <c r="E456" s="1" t="n">
        <v>-0.0109</v>
      </c>
      <c r="F456" s="1" t="n">
        <v>-0.041382</v>
      </c>
      <c r="G456" s="1" t="n">
        <v>-0.049793</v>
      </c>
      <c r="I456" s="1" t="n">
        <f aca="false">F456-$B456</f>
        <v>-0.044782</v>
      </c>
      <c r="J456" s="1" t="n">
        <f aca="false">G456-$B456</f>
        <v>-0.053193</v>
      </c>
    </row>
    <row r="457" customFormat="false" ht="15" hidden="false" customHeight="false" outlineLevel="0" collapsed="false">
      <c r="A457" s="7" t="n">
        <v>39417</v>
      </c>
      <c r="B457" s="1" t="n">
        <v>0.0027</v>
      </c>
      <c r="C457" s="1" t="n">
        <v>-0.0087</v>
      </c>
      <c r="D457" s="1" t="n">
        <v>0.0011</v>
      </c>
      <c r="E457" s="1" t="n">
        <v>-0.0051</v>
      </c>
      <c r="F457" s="1" t="n">
        <v>-0.006116</v>
      </c>
      <c r="G457" s="1" t="n">
        <v>-0.016719</v>
      </c>
      <c r="I457" s="1" t="n">
        <f aca="false">F457-$B457</f>
        <v>-0.008816</v>
      </c>
      <c r="J457" s="1" t="n">
        <f aca="false">G457-$B457</f>
        <v>-0.019419</v>
      </c>
    </row>
    <row r="458" customFormat="false" ht="15" hidden="false" customHeight="false" outlineLevel="0" collapsed="false">
      <c r="A458" s="7" t="n">
        <v>39448</v>
      </c>
      <c r="B458" s="1" t="n">
        <v>0.0021</v>
      </c>
      <c r="C458" s="1" t="n">
        <v>-0.0633</v>
      </c>
      <c r="D458" s="1" t="n">
        <v>-0.0102</v>
      </c>
      <c r="E458" s="1" t="n">
        <v>0.04</v>
      </c>
      <c r="F458" s="1" t="n">
        <v>-0.061166</v>
      </c>
      <c r="G458" s="1" t="n">
        <v>-0.045038</v>
      </c>
      <c r="I458" s="1" t="n">
        <f aca="false">F458-$B458</f>
        <v>-0.063266</v>
      </c>
      <c r="J458" s="1" t="n">
        <f aca="false">G458-$B458</f>
        <v>-0.047138</v>
      </c>
    </row>
    <row r="459" customFormat="false" ht="15" hidden="false" customHeight="false" outlineLevel="0" collapsed="false">
      <c r="A459" s="7" t="n">
        <v>39479</v>
      </c>
      <c r="B459" s="1" t="n">
        <v>0.0013</v>
      </c>
      <c r="C459" s="1" t="n">
        <v>-0.0309</v>
      </c>
      <c r="D459" s="1" t="n">
        <v>-0.0048</v>
      </c>
      <c r="E459" s="1" t="n">
        <v>-0.0072</v>
      </c>
      <c r="F459" s="1" t="n">
        <v>-0.031419</v>
      </c>
      <c r="G459" s="1" t="n">
        <v>-0.029501</v>
      </c>
      <c r="I459" s="1" t="n">
        <f aca="false">F459-$B459</f>
        <v>-0.032719</v>
      </c>
      <c r="J459" s="1" t="n">
        <f aca="false">G459-$B459</f>
        <v>-0.030801</v>
      </c>
    </row>
    <row r="460" customFormat="false" ht="15" hidden="false" customHeight="false" outlineLevel="0" collapsed="false">
      <c r="A460" s="7" t="n">
        <v>39508</v>
      </c>
      <c r="B460" s="1" t="n">
        <v>0.0017</v>
      </c>
      <c r="C460" s="1" t="n">
        <v>-0.0094</v>
      </c>
      <c r="D460" s="1" t="n">
        <v>0.0071</v>
      </c>
      <c r="E460" s="1" t="n">
        <v>0.0031</v>
      </c>
      <c r="F460" s="1" t="n">
        <v>-0.0034</v>
      </c>
      <c r="G460" s="1" t="n">
        <v>-0.012729</v>
      </c>
      <c r="I460" s="1" t="n">
        <f aca="false">F460-$B460</f>
        <v>-0.0051</v>
      </c>
      <c r="J460" s="1" t="n">
        <f aca="false">G460-$B460</f>
        <v>-0.014429</v>
      </c>
    </row>
    <row r="461" customFormat="false" ht="15" hidden="false" customHeight="false" outlineLevel="0" collapsed="false">
      <c r="A461" s="7" t="n">
        <v>39539</v>
      </c>
      <c r="B461" s="1" t="n">
        <v>0.0018</v>
      </c>
      <c r="C461" s="1" t="n">
        <v>0.0461</v>
      </c>
      <c r="D461" s="1" t="n">
        <v>-0.0169</v>
      </c>
      <c r="E461" s="1" t="n">
        <v>-0.0096</v>
      </c>
      <c r="F461" s="1" t="n">
        <v>0.048629</v>
      </c>
      <c r="G461" s="1" t="n">
        <v>0.052409</v>
      </c>
      <c r="I461" s="1" t="n">
        <f aca="false">F461-$B461</f>
        <v>0.046829</v>
      </c>
      <c r="J461" s="1" t="n">
        <f aca="false">G461-$B461</f>
        <v>0.050609</v>
      </c>
    </row>
    <row r="462" customFormat="false" ht="15" hidden="false" customHeight="false" outlineLevel="0" collapsed="false">
      <c r="A462" s="7" t="n">
        <v>39569</v>
      </c>
      <c r="B462" s="1" t="n">
        <v>0.0018</v>
      </c>
      <c r="C462" s="1" t="n">
        <v>0.0187</v>
      </c>
      <c r="D462" s="1" t="n">
        <v>0.0297</v>
      </c>
      <c r="E462" s="1" t="n">
        <v>-0.015</v>
      </c>
      <c r="F462" s="1" t="n">
        <v>0.012986</v>
      </c>
      <c r="G462" s="1" t="n">
        <v>0.025677</v>
      </c>
      <c r="I462" s="1" t="n">
        <f aca="false">F462-$B462</f>
        <v>0.011186</v>
      </c>
      <c r="J462" s="1" t="n">
        <f aca="false">G462-$B462</f>
        <v>0.023877</v>
      </c>
    </row>
    <row r="463" customFormat="false" ht="15" hidden="false" customHeight="false" outlineLevel="0" collapsed="false">
      <c r="A463" s="7" t="n">
        <v>39600</v>
      </c>
      <c r="B463" s="1" t="n">
        <v>0.0017</v>
      </c>
      <c r="C463" s="1" t="n">
        <v>-0.0843</v>
      </c>
      <c r="D463" s="1" t="n">
        <v>0.0115</v>
      </c>
      <c r="E463" s="1" t="n">
        <v>-0.0251</v>
      </c>
      <c r="F463" s="1" t="n">
        <v>-0.082842</v>
      </c>
      <c r="G463" s="1" t="n">
        <v>-0.098363</v>
      </c>
      <c r="I463" s="1" t="n">
        <f aca="false">F463-$B463</f>
        <v>-0.084542</v>
      </c>
      <c r="J463" s="1" t="n">
        <f aca="false">G463-$B463</f>
        <v>-0.100063</v>
      </c>
    </row>
    <row r="464" customFormat="false" ht="15" hidden="false" customHeight="false" outlineLevel="0" collapsed="false">
      <c r="A464" s="7" t="n">
        <v>39630</v>
      </c>
      <c r="B464" s="1" t="n">
        <v>0.0015</v>
      </c>
      <c r="C464" s="1" t="n">
        <v>-0.0075</v>
      </c>
      <c r="D464" s="1" t="n">
        <v>0.026</v>
      </c>
      <c r="E464" s="1" t="n">
        <v>0.052</v>
      </c>
      <c r="F464" s="1" t="n">
        <v>-0.007306</v>
      </c>
      <c r="G464" s="1" t="n">
        <v>-0.003641</v>
      </c>
      <c r="I464" s="1" t="n">
        <f aca="false">F464-$B464</f>
        <v>-0.008806</v>
      </c>
      <c r="J464" s="1" t="n">
        <f aca="false">G464-$B464</f>
        <v>-0.005141</v>
      </c>
    </row>
    <row r="465" customFormat="false" ht="15" hidden="false" customHeight="false" outlineLevel="0" collapsed="false">
      <c r="A465" s="7" t="n">
        <v>39661</v>
      </c>
      <c r="B465" s="1" t="n">
        <v>0.0013</v>
      </c>
      <c r="C465" s="1" t="n">
        <v>0.0153</v>
      </c>
      <c r="D465" s="1" t="n">
        <v>0.034</v>
      </c>
      <c r="E465" s="1" t="n">
        <v>0.0152</v>
      </c>
      <c r="F465" s="1" t="n">
        <v>0.014955</v>
      </c>
      <c r="G465" s="1" t="n">
        <v>0.028359</v>
      </c>
      <c r="I465" s="1" t="n">
        <f aca="false">F465-$B465</f>
        <v>0.013655</v>
      </c>
      <c r="J465" s="1" t="n">
        <f aca="false">G465-$B465</f>
        <v>0.027059</v>
      </c>
    </row>
    <row r="466" customFormat="false" ht="15" hidden="false" customHeight="false" outlineLevel="0" collapsed="false">
      <c r="A466" s="7" t="n">
        <v>39692</v>
      </c>
      <c r="B466" s="1" t="n">
        <v>0.0015</v>
      </c>
      <c r="C466" s="1" t="n">
        <v>-0.0935</v>
      </c>
      <c r="D466" s="1" t="n">
        <v>-0.0107</v>
      </c>
      <c r="E466" s="1" t="n">
        <v>0.0566</v>
      </c>
      <c r="F466" s="1" t="n">
        <v>-0.085467</v>
      </c>
      <c r="G466" s="1" t="n">
        <v>-0.103388</v>
      </c>
      <c r="I466" s="1" t="n">
        <f aca="false">F466-$B466</f>
        <v>-0.086967</v>
      </c>
      <c r="J466" s="1" t="n">
        <f aca="false">G466-$B466</f>
        <v>-0.104888</v>
      </c>
    </row>
    <row r="467" customFormat="false" ht="15" hidden="false" customHeight="false" outlineLevel="0" collapsed="false">
      <c r="A467" s="7" t="n">
        <v>39722</v>
      </c>
      <c r="B467" s="1" t="n">
        <v>0.0008</v>
      </c>
      <c r="C467" s="1" t="n">
        <v>-0.172</v>
      </c>
      <c r="D467" s="1" t="n">
        <v>-0.0231</v>
      </c>
      <c r="E467" s="1" t="n">
        <v>-0.0189</v>
      </c>
      <c r="F467" s="1" t="n">
        <v>-0.16698</v>
      </c>
      <c r="G467" s="1" t="n">
        <v>-0.207562</v>
      </c>
      <c r="I467" s="1" t="n">
        <f aca="false">F467-$B467</f>
        <v>-0.16778</v>
      </c>
      <c r="J467" s="1" t="n">
        <f aca="false">G467-$B467</f>
        <v>-0.208362</v>
      </c>
    </row>
    <row r="468" customFormat="false" ht="15" hidden="false" customHeight="false" outlineLevel="0" collapsed="false">
      <c r="A468" s="7" t="n">
        <v>39753</v>
      </c>
      <c r="B468" s="1" t="n">
        <v>0.0003</v>
      </c>
      <c r="C468" s="1" t="n">
        <v>-0.0774</v>
      </c>
      <c r="D468" s="1" t="n">
        <v>-0.0301</v>
      </c>
      <c r="E468" s="1" t="n">
        <v>-0.0621</v>
      </c>
      <c r="F468" s="1" t="n">
        <v>-0.073512</v>
      </c>
      <c r="G468" s="1" t="n">
        <v>-0.103635</v>
      </c>
      <c r="I468" s="1" t="n">
        <f aca="false">F468-$B468</f>
        <v>-0.073812</v>
      </c>
      <c r="J468" s="1" t="n">
        <f aca="false">G468-$B468</f>
        <v>-0.103935</v>
      </c>
    </row>
    <row r="469" customFormat="false" ht="15" hidden="false" customHeight="false" outlineLevel="0" collapsed="false">
      <c r="A469" s="7" t="n">
        <v>39783</v>
      </c>
      <c r="B469" s="1" t="n">
        <v>0</v>
      </c>
      <c r="C469" s="1" t="n">
        <v>0.0177</v>
      </c>
      <c r="D469" s="1" t="n">
        <v>0.0352</v>
      </c>
      <c r="E469" s="1" t="n">
        <v>0.0005</v>
      </c>
      <c r="F469" s="1" t="n">
        <v>0.011996</v>
      </c>
      <c r="G469" s="1" t="n">
        <v>0.044007</v>
      </c>
      <c r="I469" s="1" t="n">
        <f aca="false">F469-$B469</f>
        <v>0.011996</v>
      </c>
      <c r="J469" s="1" t="n">
        <f aca="false">G469-$B469</f>
        <v>0.044007</v>
      </c>
    </row>
    <row r="470" customFormat="false" ht="15" hidden="false" customHeight="false" outlineLevel="0" collapsed="false">
      <c r="A470" s="7" t="n">
        <v>39814</v>
      </c>
      <c r="B470" s="1" t="n">
        <v>0</v>
      </c>
      <c r="C470" s="1" t="n">
        <v>-0.0809</v>
      </c>
      <c r="D470" s="1" t="n">
        <v>0.0004</v>
      </c>
      <c r="E470" s="1" t="n">
        <v>-0.1102</v>
      </c>
      <c r="F470" s="1" t="n">
        <v>-0.082615</v>
      </c>
      <c r="G470" s="1" t="n">
        <v>-0.078402</v>
      </c>
      <c r="I470" s="1" t="n">
        <f aca="false">F470-$B470</f>
        <v>-0.082615</v>
      </c>
      <c r="J470" s="1" t="n">
        <f aca="false">G470-$B470</f>
        <v>-0.078402</v>
      </c>
    </row>
    <row r="471" customFormat="false" ht="15" hidden="false" customHeight="false" outlineLevel="0" collapsed="false">
      <c r="A471" s="7" t="n">
        <v>39845</v>
      </c>
      <c r="B471" s="1" t="n">
        <v>0.0001</v>
      </c>
      <c r="C471" s="1" t="n">
        <v>-0.1014</v>
      </c>
      <c r="D471" s="1" t="n">
        <v>0.0014</v>
      </c>
      <c r="E471" s="1" t="n">
        <v>-0.066</v>
      </c>
      <c r="F471" s="1" t="n">
        <v>-0.103588</v>
      </c>
      <c r="G471" s="1" t="n">
        <v>-0.116939</v>
      </c>
      <c r="I471" s="1" t="n">
        <f aca="false">F471-$B471</f>
        <v>-0.103688</v>
      </c>
      <c r="J471" s="1" t="n">
        <f aca="false">G471-$B471</f>
        <v>-0.117039</v>
      </c>
    </row>
    <row r="472" customFormat="false" ht="15" hidden="false" customHeight="false" outlineLevel="0" collapsed="false">
      <c r="A472" s="7" t="n">
        <v>39873</v>
      </c>
      <c r="B472" s="1" t="n">
        <v>0.0002</v>
      </c>
      <c r="C472" s="1" t="n">
        <v>0.0901</v>
      </c>
      <c r="D472" s="1" t="n">
        <v>-0.001</v>
      </c>
      <c r="E472" s="1" t="n">
        <v>0.0348</v>
      </c>
      <c r="F472" s="1" t="n">
        <v>0.087634</v>
      </c>
      <c r="G472" s="1" t="n">
        <v>0.109438</v>
      </c>
      <c r="I472" s="1" t="n">
        <f aca="false">F472-$B472</f>
        <v>0.087434</v>
      </c>
      <c r="J472" s="1" t="n">
        <f aca="false">G472-$B472</f>
        <v>0.109238</v>
      </c>
    </row>
    <row r="473" customFormat="false" ht="15" hidden="false" customHeight="false" outlineLevel="0" collapsed="false">
      <c r="A473" s="7" t="n">
        <v>39904</v>
      </c>
      <c r="B473" s="1" t="n">
        <v>0.0001</v>
      </c>
      <c r="C473" s="1" t="n">
        <v>0.1017</v>
      </c>
      <c r="D473" s="1" t="n">
        <v>0.054</v>
      </c>
      <c r="E473" s="1" t="n">
        <v>0.0538</v>
      </c>
      <c r="F473" s="1" t="n">
        <v>0.09423</v>
      </c>
      <c r="G473" s="1" t="n">
        <v>0.184857</v>
      </c>
      <c r="I473" s="1" t="n">
        <f aca="false">F473-$B473</f>
        <v>0.09413</v>
      </c>
      <c r="J473" s="1" t="n">
        <f aca="false">G473-$B473</f>
        <v>0.184757</v>
      </c>
    </row>
    <row r="474" customFormat="false" ht="15" hidden="false" customHeight="false" outlineLevel="0" collapsed="false">
      <c r="A474" s="7" t="n">
        <v>39934</v>
      </c>
      <c r="B474" s="1" t="n">
        <v>0</v>
      </c>
      <c r="C474" s="1" t="n">
        <v>0.0521</v>
      </c>
      <c r="D474" s="1" t="n">
        <v>-0.0241</v>
      </c>
      <c r="E474" s="1" t="n">
        <v>0.0041</v>
      </c>
      <c r="F474" s="1" t="n">
        <v>0.05464</v>
      </c>
      <c r="G474" s="1" t="n">
        <v>0.062487</v>
      </c>
      <c r="I474" s="1" t="n">
        <f aca="false">F474-$B474</f>
        <v>0.05464</v>
      </c>
      <c r="J474" s="1" t="n">
        <f aca="false">G474-$B474</f>
        <v>0.062487</v>
      </c>
    </row>
    <row r="475" customFormat="false" ht="15" hidden="false" customHeight="false" outlineLevel="0" collapsed="false">
      <c r="A475" s="7" t="n">
        <v>39965</v>
      </c>
      <c r="B475" s="1" t="n">
        <v>0.0001</v>
      </c>
      <c r="C475" s="1" t="n">
        <v>0.0042</v>
      </c>
      <c r="D475" s="1" t="n">
        <v>0.0258</v>
      </c>
      <c r="E475" s="1" t="n">
        <v>-0.0276</v>
      </c>
      <c r="F475" s="1" t="n">
        <v>0.002476</v>
      </c>
      <c r="G475" s="1" t="n">
        <v>-0.004651</v>
      </c>
      <c r="I475" s="1" t="n">
        <f aca="false">F475-$B475</f>
        <v>0.002376</v>
      </c>
      <c r="J475" s="1" t="n">
        <f aca="false">G475-$B475</f>
        <v>-0.004751</v>
      </c>
    </row>
    <row r="476" customFormat="false" ht="15" hidden="false" customHeight="false" outlineLevel="0" collapsed="false">
      <c r="A476" s="7" t="n">
        <v>39995</v>
      </c>
      <c r="B476" s="1" t="n">
        <v>0.0001</v>
      </c>
      <c r="C476" s="1" t="n">
        <v>0.0774</v>
      </c>
      <c r="D476" s="1" t="n">
        <v>0.0175</v>
      </c>
      <c r="E476" s="1" t="n">
        <v>0.0489</v>
      </c>
      <c r="F476" s="1" t="n">
        <v>0.074482</v>
      </c>
      <c r="G476" s="1" t="n">
        <v>0.093928</v>
      </c>
      <c r="I476" s="1" t="n">
        <f aca="false">F476-$B476</f>
        <v>0.074382</v>
      </c>
      <c r="J476" s="1" t="n">
        <f aca="false">G476-$B476</f>
        <v>0.093828</v>
      </c>
    </row>
    <row r="477" customFormat="false" ht="15" hidden="false" customHeight="false" outlineLevel="0" collapsed="false">
      <c r="A477" s="7" t="n">
        <v>40026</v>
      </c>
      <c r="B477" s="1" t="n">
        <v>0.0001</v>
      </c>
      <c r="C477" s="1" t="n">
        <v>0.0333</v>
      </c>
      <c r="D477" s="1" t="n">
        <v>-0.0112</v>
      </c>
      <c r="E477" s="1" t="n">
        <v>0.076</v>
      </c>
      <c r="F477" s="1" t="n">
        <v>0.034751</v>
      </c>
      <c r="G477" s="1" t="n">
        <v>0.057829</v>
      </c>
      <c r="I477" s="1" t="n">
        <f aca="false">F477-$B477</f>
        <v>0.034651</v>
      </c>
      <c r="J477" s="1" t="n">
        <f aca="false">G477-$B477</f>
        <v>0.057729</v>
      </c>
    </row>
    <row r="478" customFormat="false" ht="15" hidden="false" customHeight="false" outlineLevel="0" collapsed="false">
      <c r="A478" s="7" t="n">
        <v>40057</v>
      </c>
      <c r="B478" s="1" t="n">
        <v>0.0001</v>
      </c>
      <c r="C478" s="1" t="n">
        <v>0.0408</v>
      </c>
      <c r="D478" s="1" t="n">
        <v>0.0243</v>
      </c>
      <c r="E478" s="1" t="n">
        <v>0.0115</v>
      </c>
      <c r="F478" s="1" t="n">
        <v>0.036534</v>
      </c>
      <c r="G478" s="1" t="n">
        <v>0.052527</v>
      </c>
      <c r="I478" s="1" t="n">
        <f aca="false">F478-$B478</f>
        <v>0.036434</v>
      </c>
      <c r="J478" s="1" t="n">
        <f aca="false">G478-$B478</f>
        <v>0.052427</v>
      </c>
    </row>
    <row r="479" customFormat="false" ht="15" hidden="false" customHeight="false" outlineLevel="0" collapsed="false">
      <c r="A479" s="7" t="n">
        <v>40087</v>
      </c>
      <c r="B479" s="1" t="n">
        <v>0</v>
      </c>
      <c r="C479" s="1" t="n">
        <v>-0.0253</v>
      </c>
      <c r="D479" s="1" t="n">
        <v>-0.0426</v>
      </c>
      <c r="E479" s="1" t="n">
        <v>-0.0417</v>
      </c>
      <c r="F479" s="1" t="n">
        <v>-0.018259</v>
      </c>
      <c r="G479" s="1" t="n">
        <v>-0.034448</v>
      </c>
      <c r="I479" s="1" t="n">
        <f aca="false">F479-$B479</f>
        <v>-0.018259</v>
      </c>
      <c r="J479" s="1" t="n">
        <f aca="false">G479-$B479</f>
        <v>-0.034448</v>
      </c>
    </row>
    <row r="480" customFormat="false" ht="15" hidden="false" customHeight="false" outlineLevel="0" collapsed="false">
      <c r="A480" s="7" t="n">
        <v>40118</v>
      </c>
      <c r="B480" s="1" t="n">
        <v>0</v>
      </c>
      <c r="C480" s="1" t="n">
        <v>0.0563</v>
      </c>
      <c r="D480" s="1" t="n">
        <v>-0.025</v>
      </c>
      <c r="E480" s="1" t="n">
        <v>-0.0033</v>
      </c>
      <c r="F480" s="1" t="n">
        <v>0.060257</v>
      </c>
      <c r="G480" s="1" t="n">
        <v>0.054502</v>
      </c>
      <c r="I480" s="1" t="n">
        <f aca="false">F480-$B480</f>
        <v>0.060257</v>
      </c>
      <c r="J480" s="1" t="n">
        <f aca="false">G480-$B480</f>
        <v>0.054502</v>
      </c>
    </row>
    <row r="481" customFormat="false" ht="15" hidden="false" customHeight="false" outlineLevel="0" collapsed="false">
      <c r="A481" s="7" t="n">
        <v>40148</v>
      </c>
      <c r="B481" s="1" t="n">
        <v>0.0001</v>
      </c>
      <c r="C481" s="1" t="n">
        <v>0.028</v>
      </c>
      <c r="D481" s="1" t="n">
        <v>0.0601</v>
      </c>
      <c r="E481" s="1" t="n">
        <v>-0.0011</v>
      </c>
      <c r="F481" s="1" t="n">
        <v>0.018983</v>
      </c>
      <c r="G481" s="1" t="n">
        <v>0.048224</v>
      </c>
      <c r="I481" s="1" t="n">
        <f aca="false">F481-$B481</f>
        <v>0.018883</v>
      </c>
      <c r="J481" s="1" t="n">
        <f aca="false">G481-$B481</f>
        <v>0.048124</v>
      </c>
    </row>
    <row r="482" customFormat="false" ht="15" hidden="false" customHeight="false" outlineLevel="0" collapsed="false">
      <c r="A482" s="7" t="n">
        <v>40179</v>
      </c>
      <c r="B482" s="1" t="n">
        <v>0</v>
      </c>
      <c r="C482" s="1" t="n">
        <v>-0.0335</v>
      </c>
      <c r="D482" s="1" t="n">
        <v>0.0043</v>
      </c>
      <c r="E482" s="1" t="n">
        <v>0.0033</v>
      </c>
      <c r="F482" s="1" t="n">
        <v>-0.035751</v>
      </c>
      <c r="G482" s="1" t="n">
        <v>-0.030955</v>
      </c>
      <c r="I482" s="1" t="n">
        <f aca="false">F482-$B482</f>
        <v>-0.035751</v>
      </c>
      <c r="J482" s="1" t="n">
        <f aca="false">G482-$B482</f>
        <v>-0.030955</v>
      </c>
    </row>
    <row r="483" customFormat="false" ht="15" hidden="false" customHeight="false" outlineLevel="0" collapsed="false">
      <c r="A483" s="7" t="n">
        <v>40210</v>
      </c>
      <c r="B483" s="1" t="n">
        <v>0</v>
      </c>
      <c r="C483" s="1" t="n">
        <v>0.0339</v>
      </c>
      <c r="D483" s="1" t="n">
        <v>0.0118</v>
      </c>
      <c r="E483" s="1" t="n">
        <v>0.0318</v>
      </c>
      <c r="F483" s="1" t="n">
        <v>0.030424</v>
      </c>
      <c r="G483" s="1" t="n">
        <v>0.043365</v>
      </c>
      <c r="I483" s="1" t="n">
        <f aca="false">F483-$B483</f>
        <v>0.030424</v>
      </c>
      <c r="J483" s="1" t="n">
        <f aca="false">G483-$B483</f>
        <v>0.043365</v>
      </c>
    </row>
    <row r="484" customFormat="false" ht="15" hidden="false" customHeight="false" outlineLevel="0" collapsed="false">
      <c r="A484" s="7" t="n">
        <v>40238</v>
      </c>
      <c r="B484" s="1" t="n">
        <v>0.0001</v>
      </c>
      <c r="C484" s="1" t="n">
        <v>0.063</v>
      </c>
      <c r="D484" s="1" t="n">
        <v>0.0146</v>
      </c>
      <c r="E484" s="1" t="n">
        <v>0.0219</v>
      </c>
      <c r="F484" s="1" t="n">
        <v>0.061014</v>
      </c>
      <c r="G484" s="1" t="n">
        <v>0.071014</v>
      </c>
      <c r="I484" s="1" t="n">
        <f aca="false">F484-$B484</f>
        <v>0.060914</v>
      </c>
      <c r="J484" s="1" t="n">
        <f aca="false">G484-$B484</f>
        <v>0.070914</v>
      </c>
    </row>
    <row r="485" customFormat="false" ht="15" hidden="false" customHeight="false" outlineLevel="0" collapsed="false">
      <c r="A485" s="7" t="n">
        <v>40269</v>
      </c>
      <c r="B485" s="1" t="n">
        <v>0.0001</v>
      </c>
      <c r="C485" s="1" t="n">
        <v>0.0199</v>
      </c>
      <c r="D485" s="1" t="n">
        <v>0.0484</v>
      </c>
      <c r="E485" s="1" t="n">
        <v>0.0296</v>
      </c>
      <c r="F485" s="1" t="n">
        <v>0.015977</v>
      </c>
      <c r="G485" s="1" t="n">
        <v>0.028049</v>
      </c>
      <c r="I485" s="1" t="n">
        <f aca="false">F485-$B485</f>
        <v>0.015877</v>
      </c>
      <c r="J485" s="1" t="n">
        <f aca="false">G485-$B485</f>
        <v>0.027949</v>
      </c>
    </row>
    <row r="486" customFormat="false" ht="15" hidden="false" customHeight="false" outlineLevel="0" collapsed="false">
      <c r="A486" s="7" t="n">
        <v>40299</v>
      </c>
      <c r="B486" s="1" t="n">
        <v>0.0001</v>
      </c>
      <c r="C486" s="1" t="n">
        <v>-0.079</v>
      </c>
      <c r="D486" s="1" t="n">
        <v>0.0013</v>
      </c>
      <c r="E486" s="1" t="n">
        <v>-0.0248</v>
      </c>
      <c r="F486" s="1" t="n">
        <v>-0.080111</v>
      </c>
      <c r="G486" s="1" t="n">
        <v>-0.073486</v>
      </c>
      <c r="I486" s="1" t="n">
        <f aca="false">F486-$B486</f>
        <v>-0.080211</v>
      </c>
      <c r="J486" s="1" t="n">
        <f aca="false">G486-$B486</f>
        <v>-0.073586</v>
      </c>
    </row>
    <row r="487" customFormat="false" ht="15" hidden="false" customHeight="false" outlineLevel="0" collapsed="false">
      <c r="A487" s="7" t="n">
        <v>40330</v>
      </c>
      <c r="B487" s="1" t="n">
        <v>0.0001</v>
      </c>
      <c r="C487" s="1" t="n">
        <v>-0.0556</v>
      </c>
      <c r="D487" s="1" t="n">
        <v>-0.0179</v>
      </c>
      <c r="E487" s="1" t="n">
        <v>-0.0473</v>
      </c>
      <c r="F487" s="1" t="n">
        <v>-0.053525</v>
      </c>
      <c r="G487" s="1" t="n">
        <v>-0.061839</v>
      </c>
      <c r="I487" s="1" t="n">
        <f aca="false">F487-$B487</f>
        <v>-0.053625</v>
      </c>
      <c r="J487" s="1" t="n">
        <f aca="false">G487-$B487</f>
        <v>-0.061939</v>
      </c>
    </row>
    <row r="488" customFormat="false" ht="15" hidden="false" customHeight="false" outlineLevel="0" collapsed="false">
      <c r="A488" s="7" t="n">
        <v>40360</v>
      </c>
      <c r="B488" s="1" t="n">
        <v>0.0001</v>
      </c>
      <c r="C488" s="1" t="n">
        <v>0.0692</v>
      </c>
      <c r="D488" s="1" t="n">
        <v>0.0022</v>
      </c>
      <c r="E488" s="1" t="n">
        <v>-0.005</v>
      </c>
      <c r="F488" s="1" t="n">
        <v>0.070451</v>
      </c>
      <c r="G488" s="1" t="n">
        <v>0.073614</v>
      </c>
      <c r="I488" s="1" t="n">
        <f aca="false">F488-$B488</f>
        <v>0.070351</v>
      </c>
      <c r="J488" s="1" t="n">
        <f aca="false">G488-$B488</f>
        <v>0.073514</v>
      </c>
    </row>
    <row r="489" customFormat="false" ht="15" hidden="false" customHeight="false" outlineLevel="0" collapsed="false">
      <c r="A489" s="7" t="n">
        <v>40391</v>
      </c>
      <c r="B489" s="1" t="n">
        <v>0.0001</v>
      </c>
      <c r="C489" s="1" t="n">
        <v>-0.0478</v>
      </c>
      <c r="D489" s="1" t="n">
        <v>-0.0301</v>
      </c>
      <c r="E489" s="1" t="n">
        <v>-0.0173</v>
      </c>
      <c r="F489" s="1" t="n">
        <v>-0.045434</v>
      </c>
      <c r="G489" s="1" t="n">
        <v>-0.048287</v>
      </c>
      <c r="I489" s="1" t="n">
        <f aca="false">F489-$B489</f>
        <v>-0.045534</v>
      </c>
      <c r="J489" s="1" t="n">
        <f aca="false">G489-$B489</f>
        <v>-0.048387</v>
      </c>
    </row>
    <row r="490" customFormat="false" ht="15" hidden="false" customHeight="false" outlineLevel="0" collapsed="false">
      <c r="A490" s="7" t="n">
        <v>40422</v>
      </c>
      <c r="B490" s="1" t="n">
        <v>0.0001</v>
      </c>
      <c r="C490" s="1" t="n">
        <v>0.0955</v>
      </c>
      <c r="D490" s="1" t="n">
        <v>0.0382</v>
      </c>
      <c r="E490" s="1" t="n">
        <v>-0.0302</v>
      </c>
      <c r="F490" s="1" t="n">
        <v>0.090383</v>
      </c>
      <c r="G490" s="1" t="n">
        <v>0.104307</v>
      </c>
      <c r="I490" s="1" t="n">
        <f aca="false">F490-$B490</f>
        <v>0.090283</v>
      </c>
      <c r="J490" s="1" t="n">
        <f aca="false">G490-$B490</f>
        <v>0.104207</v>
      </c>
    </row>
    <row r="491" customFormat="false" ht="15" hidden="false" customHeight="false" outlineLevel="0" collapsed="false">
      <c r="A491" s="7" t="n">
        <v>40452</v>
      </c>
      <c r="B491" s="1" t="n">
        <v>0.0001</v>
      </c>
      <c r="C491" s="1" t="n">
        <v>0.0387</v>
      </c>
      <c r="D491" s="1" t="n">
        <v>0.0108</v>
      </c>
      <c r="E491" s="1" t="n">
        <v>-0.0246</v>
      </c>
      <c r="F491" s="1" t="n">
        <v>0.038726</v>
      </c>
      <c r="G491" s="1" t="n">
        <v>0.035946</v>
      </c>
      <c r="I491" s="1" t="n">
        <f aca="false">F491-$B491</f>
        <v>0.038626</v>
      </c>
      <c r="J491" s="1" t="n">
        <f aca="false">G491-$B491</f>
        <v>0.035846</v>
      </c>
    </row>
    <row r="492" customFormat="false" ht="15" hidden="false" customHeight="false" outlineLevel="0" collapsed="false">
      <c r="A492" s="7" t="n">
        <v>40483</v>
      </c>
      <c r="B492" s="1" t="n">
        <v>0.0001</v>
      </c>
      <c r="C492" s="1" t="n">
        <v>0.0059</v>
      </c>
      <c r="D492" s="1" t="n">
        <v>0.0367</v>
      </c>
      <c r="E492" s="1" t="n">
        <v>-0.009</v>
      </c>
      <c r="F492" s="1" t="n">
        <v>-5.1E-005</v>
      </c>
      <c r="G492" s="1" t="n">
        <v>0.008205</v>
      </c>
      <c r="I492" s="1" t="n">
        <f aca="false">F492-$B492</f>
        <v>-0.000151</v>
      </c>
      <c r="J492" s="1" t="n">
        <f aca="false">G492-$B492</f>
        <v>0.008105</v>
      </c>
    </row>
    <row r="493" customFormat="false" ht="15" hidden="false" customHeight="false" outlineLevel="0" collapsed="false">
      <c r="A493" s="7" t="n">
        <v>40513</v>
      </c>
      <c r="B493" s="1" t="n">
        <v>0.0001</v>
      </c>
      <c r="C493" s="1" t="n">
        <v>0.0682</v>
      </c>
      <c r="D493" s="1" t="n">
        <v>0.0072</v>
      </c>
      <c r="E493" s="1" t="n">
        <v>0.0356</v>
      </c>
      <c r="F493" s="1" t="n">
        <v>0.067055</v>
      </c>
      <c r="G493" s="1" t="n">
        <v>0.072134</v>
      </c>
      <c r="I493" s="1" t="n">
        <f aca="false">F493-$B493</f>
        <v>0.066955</v>
      </c>
      <c r="J493" s="1" t="n">
        <f aca="false">G493-$B493</f>
        <v>0.072034</v>
      </c>
    </row>
    <row r="494" customFormat="false" ht="15" hidden="false" customHeight="false" outlineLevel="0" collapsed="false">
      <c r="A494" s="7" t="n">
        <v>40544</v>
      </c>
      <c r="B494" s="1" t="n">
        <v>0.0001</v>
      </c>
      <c r="C494" s="1" t="n">
        <v>0.0198</v>
      </c>
      <c r="D494" s="1" t="n">
        <v>-0.0229</v>
      </c>
      <c r="E494" s="1" t="n">
        <v>0.0061</v>
      </c>
      <c r="F494" s="1" t="n">
        <v>0.023349</v>
      </c>
      <c r="G494" s="1" t="n">
        <v>0.021935</v>
      </c>
      <c r="I494" s="1" t="n">
        <f aca="false">F494-$B494</f>
        <v>0.023249</v>
      </c>
      <c r="J494" s="1" t="n">
        <f aca="false">G494-$B494</f>
        <v>0.021835</v>
      </c>
    </row>
    <row r="495" customFormat="false" ht="15" hidden="false" customHeight="false" outlineLevel="0" collapsed="false">
      <c r="A495" s="7" t="n">
        <v>40575</v>
      </c>
      <c r="B495" s="1" t="n">
        <v>0.0001</v>
      </c>
      <c r="C495" s="1" t="n">
        <v>0.0348</v>
      </c>
      <c r="D495" s="1" t="n">
        <v>0.015</v>
      </c>
      <c r="E495" s="1" t="n">
        <v>0.0118</v>
      </c>
      <c r="F495" s="1" t="n">
        <v>0.032508</v>
      </c>
      <c r="G495" s="1" t="n">
        <v>0.041109</v>
      </c>
      <c r="I495" s="1" t="n">
        <f aca="false">F495-$B495</f>
        <v>0.032408</v>
      </c>
      <c r="J495" s="1" t="n">
        <f aca="false">G495-$B495</f>
        <v>0.041009</v>
      </c>
    </row>
    <row r="496" customFormat="false" ht="15" hidden="false" customHeight="false" outlineLevel="0" collapsed="false">
      <c r="A496" s="7" t="n">
        <v>40603</v>
      </c>
      <c r="B496" s="1" t="n">
        <v>0.0001</v>
      </c>
      <c r="C496" s="1" t="n">
        <v>0.0045</v>
      </c>
      <c r="D496" s="1" t="n">
        <v>0.0249</v>
      </c>
      <c r="E496" s="1" t="n">
        <v>-0.0184</v>
      </c>
      <c r="F496" s="1" t="n">
        <v>0.000625</v>
      </c>
      <c r="G496" s="1" t="n">
        <v>0.009007</v>
      </c>
      <c r="I496" s="1" t="n">
        <f aca="false">F496-$B496</f>
        <v>0.000525</v>
      </c>
      <c r="J496" s="1" t="n">
        <f aca="false">G496-$B496</f>
        <v>0.008907</v>
      </c>
    </row>
    <row r="497" customFormat="false" ht="15" hidden="false" customHeight="false" outlineLevel="0" collapsed="false">
      <c r="A497" s="7" t="n">
        <v>40634</v>
      </c>
      <c r="B497" s="1" t="n">
        <v>0</v>
      </c>
      <c r="C497" s="1" t="n">
        <v>0.029</v>
      </c>
      <c r="D497" s="1" t="n">
        <v>-0.0042</v>
      </c>
      <c r="E497" s="1" t="n">
        <v>-0.0244</v>
      </c>
      <c r="F497" s="1" t="n">
        <v>0.029441</v>
      </c>
      <c r="G497" s="1" t="n">
        <v>0.031626</v>
      </c>
      <c r="I497" s="1" t="n">
        <f aca="false">F497-$B497</f>
        <v>0.029441</v>
      </c>
      <c r="J497" s="1" t="n">
        <f aca="false">G497-$B497</f>
        <v>0.031626</v>
      </c>
    </row>
    <row r="498" customFormat="false" ht="15" hidden="false" customHeight="false" outlineLevel="0" collapsed="false">
      <c r="A498" s="7" t="n">
        <v>40664</v>
      </c>
      <c r="B498" s="1" t="n">
        <v>0</v>
      </c>
      <c r="C498" s="1" t="n">
        <v>-0.0127</v>
      </c>
      <c r="D498" s="1" t="n">
        <v>-0.0073</v>
      </c>
      <c r="E498" s="1" t="n">
        <v>-0.0185</v>
      </c>
      <c r="F498" s="1" t="n">
        <v>-0.011313</v>
      </c>
      <c r="G498" s="1" t="n">
        <v>-0.005579</v>
      </c>
      <c r="I498" s="1" t="n">
        <f aca="false">F498-$B498</f>
        <v>-0.011313</v>
      </c>
      <c r="J498" s="1" t="n">
        <f aca="false">G498-$B498</f>
        <v>-0.005579</v>
      </c>
    </row>
    <row r="499" customFormat="false" ht="15" hidden="false" customHeight="false" outlineLevel="0" collapsed="false">
      <c r="A499" s="7" t="n">
        <v>40695</v>
      </c>
      <c r="B499" s="1" t="n">
        <v>0</v>
      </c>
      <c r="C499" s="1" t="n">
        <v>-0.0174</v>
      </c>
      <c r="D499" s="1" t="n">
        <v>-0.0027</v>
      </c>
      <c r="E499" s="1" t="n">
        <v>-0.002</v>
      </c>
      <c r="F499" s="1" t="n">
        <v>-0.016545</v>
      </c>
      <c r="G499" s="1" t="n">
        <v>-0.019098</v>
      </c>
      <c r="I499" s="1" t="n">
        <f aca="false">F499-$B499</f>
        <v>-0.016545</v>
      </c>
      <c r="J499" s="1" t="n">
        <f aca="false">G499-$B499</f>
        <v>-0.019098</v>
      </c>
    </row>
    <row r="500" customFormat="false" ht="15" hidden="false" customHeight="false" outlineLevel="0" collapsed="false">
      <c r="A500" s="7" t="n">
        <v>40725</v>
      </c>
      <c r="B500" s="1" t="n">
        <v>0</v>
      </c>
      <c r="C500" s="1" t="n">
        <v>-0.0235</v>
      </c>
      <c r="D500" s="1" t="n">
        <v>-0.0117</v>
      </c>
      <c r="E500" s="1" t="n">
        <v>-0.0091</v>
      </c>
      <c r="F500" s="1" t="n">
        <v>-0.019828</v>
      </c>
      <c r="G500" s="1" t="n">
        <v>-0.035333</v>
      </c>
      <c r="I500" s="1" t="n">
        <f aca="false">F500-$B500</f>
        <v>-0.019828</v>
      </c>
      <c r="J500" s="1" t="n">
        <f aca="false">G500-$B500</f>
        <v>-0.035333</v>
      </c>
    </row>
    <row r="501" customFormat="false" ht="15" hidden="false" customHeight="false" outlineLevel="0" collapsed="false">
      <c r="A501" s="7" t="n">
        <v>40756</v>
      </c>
      <c r="B501" s="1" t="n">
        <v>0.0001</v>
      </c>
      <c r="C501" s="1" t="n">
        <v>-0.0596</v>
      </c>
      <c r="D501" s="1" t="n">
        <v>-0.0296</v>
      </c>
      <c r="E501" s="1" t="n">
        <v>-0.0243</v>
      </c>
      <c r="F501" s="1" t="n">
        <v>-0.054323</v>
      </c>
      <c r="G501" s="1" t="n">
        <v>-0.063472</v>
      </c>
      <c r="I501" s="1" t="n">
        <f aca="false">F501-$B501</f>
        <v>-0.054423</v>
      </c>
      <c r="J501" s="1" t="n">
        <f aca="false">G501-$B501</f>
        <v>-0.063572</v>
      </c>
    </row>
    <row r="502" customFormat="false" ht="15" hidden="false" customHeight="false" outlineLevel="0" collapsed="false">
      <c r="A502" s="7" t="n">
        <v>40787</v>
      </c>
      <c r="B502" s="1" t="n">
        <v>0</v>
      </c>
      <c r="C502" s="1" t="n">
        <v>-0.0758</v>
      </c>
      <c r="D502" s="1" t="n">
        <v>-0.0312</v>
      </c>
      <c r="E502" s="1" t="n">
        <v>-0.0153</v>
      </c>
      <c r="F502" s="1" t="n">
        <v>-0.070238</v>
      </c>
      <c r="G502" s="1" t="n">
        <v>-0.090694</v>
      </c>
      <c r="I502" s="1" t="n">
        <f aca="false">F502-$B502</f>
        <v>-0.070238</v>
      </c>
      <c r="J502" s="1" t="n">
        <f aca="false">G502-$B502</f>
        <v>-0.090694</v>
      </c>
    </row>
    <row r="503" customFormat="false" ht="15" hidden="false" customHeight="false" outlineLevel="0" collapsed="false">
      <c r="A503" s="7" t="n">
        <v>40817</v>
      </c>
      <c r="B503" s="1" t="n">
        <v>0</v>
      </c>
      <c r="C503" s="1" t="n">
        <v>0.1133</v>
      </c>
      <c r="D503" s="1" t="n">
        <v>0.0305</v>
      </c>
      <c r="E503" s="1" t="n">
        <v>0.0006</v>
      </c>
      <c r="F503" s="1" t="n">
        <v>0.109014</v>
      </c>
      <c r="G503" s="1" t="n">
        <v>0.13445</v>
      </c>
      <c r="I503" s="1" t="n">
        <f aca="false">F503-$B503</f>
        <v>0.109014</v>
      </c>
      <c r="J503" s="1" t="n">
        <f aca="false">G503-$B503</f>
        <v>0.13445</v>
      </c>
    </row>
    <row r="504" customFormat="false" ht="15" hidden="false" customHeight="false" outlineLevel="0" collapsed="false">
      <c r="A504" s="7" t="n">
        <v>40848</v>
      </c>
      <c r="B504" s="1" t="n">
        <v>0</v>
      </c>
      <c r="C504" s="1" t="n">
        <v>-0.0027</v>
      </c>
      <c r="D504" s="1" t="n">
        <v>-0.0018</v>
      </c>
      <c r="E504" s="1" t="n">
        <v>-0.0052</v>
      </c>
      <c r="F504" s="1" t="n">
        <v>-0.002727</v>
      </c>
      <c r="G504" s="1" t="n">
        <v>-0.006582</v>
      </c>
      <c r="I504" s="1" t="n">
        <f aca="false">F504-$B504</f>
        <v>-0.002727</v>
      </c>
      <c r="J504" s="1" t="n">
        <f aca="false">G504-$B504</f>
        <v>-0.006582</v>
      </c>
    </row>
    <row r="505" customFormat="false" ht="15" hidden="false" customHeight="false" outlineLevel="0" collapsed="false">
      <c r="A505" s="7" t="n">
        <v>40878</v>
      </c>
      <c r="B505" s="1" t="n">
        <v>0</v>
      </c>
      <c r="C505" s="1" t="n">
        <v>0.0075</v>
      </c>
      <c r="D505" s="1" t="n">
        <v>-0.0056</v>
      </c>
      <c r="E505" s="1" t="n">
        <v>0.0154</v>
      </c>
      <c r="F505" s="1" t="n">
        <v>0.009427</v>
      </c>
      <c r="G505" s="1" t="n">
        <v>0.001153</v>
      </c>
      <c r="I505" s="1" t="n">
        <f aca="false">F505-$B505</f>
        <v>0.009427</v>
      </c>
      <c r="J505" s="1" t="n">
        <f aca="false">G505-$B505</f>
        <v>0.001153</v>
      </c>
    </row>
    <row r="506" customFormat="false" ht="15" hidden="false" customHeight="false" outlineLevel="0" collapsed="false">
      <c r="A506" s="7" t="n">
        <v>40909</v>
      </c>
      <c r="B506" s="1" t="n">
        <v>0</v>
      </c>
      <c r="C506" s="1" t="n">
        <v>0.0505</v>
      </c>
      <c r="D506" s="1" t="n">
        <v>0.0201</v>
      </c>
      <c r="E506" s="1" t="n">
        <v>-0.0093</v>
      </c>
      <c r="F506" s="1" t="n">
        <v>0.045205</v>
      </c>
      <c r="G506" s="1" t="n">
        <v>0.056398</v>
      </c>
      <c r="I506" s="1" t="n">
        <f aca="false">F506-$B506</f>
        <v>0.045205</v>
      </c>
      <c r="J506" s="1" t="n">
        <f aca="false">G506-$B506</f>
        <v>0.056398</v>
      </c>
    </row>
    <row r="507" customFormat="false" ht="15" hidden="false" customHeight="false" outlineLevel="0" collapsed="false">
      <c r="A507" s="7" t="n">
        <v>40940</v>
      </c>
      <c r="B507" s="1" t="n">
        <v>0</v>
      </c>
      <c r="C507" s="1" t="n">
        <v>0.0442</v>
      </c>
      <c r="D507" s="1" t="n">
        <v>-0.0184</v>
      </c>
      <c r="E507" s="1" t="n">
        <v>0.0042</v>
      </c>
      <c r="F507" s="1" t="n">
        <v>0.043341</v>
      </c>
      <c r="G507" s="1" t="n">
        <v>0.041965</v>
      </c>
      <c r="I507" s="1" t="n">
        <f aca="false">F507-$B507</f>
        <v>0.043341</v>
      </c>
      <c r="J507" s="1" t="n">
        <f aca="false">G507-$B507</f>
        <v>0.041965</v>
      </c>
    </row>
    <row r="508" customFormat="false" ht="15" hidden="false" customHeight="false" outlineLevel="0" collapsed="false">
      <c r="A508" s="7" t="n">
        <v>40969</v>
      </c>
      <c r="B508" s="1" t="n">
        <v>0</v>
      </c>
      <c r="C508" s="1" t="n">
        <v>0.0312</v>
      </c>
      <c r="D508" s="1" t="n">
        <v>-0.0063</v>
      </c>
      <c r="E508" s="1" t="n">
        <v>0.0119</v>
      </c>
      <c r="F508" s="1" t="n">
        <v>0.032866</v>
      </c>
      <c r="G508" s="1" t="n">
        <v>0.023131</v>
      </c>
      <c r="I508" s="1" t="n">
        <f aca="false">F508-$B508</f>
        <v>0.032866</v>
      </c>
      <c r="J508" s="1" t="n">
        <f aca="false">G508-$B508</f>
        <v>0.023131</v>
      </c>
    </row>
    <row r="509" customFormat="false" ht="15" hidden="false" customHeight="false" outlineLevel="0" collapsed="false">
      <c r="A509" s="7" t="n">
        <v>41000</v>
      </c>
      <c r="B509" s="1" t="n">
        <v>0</v>
      </c>
      <c r="C509" s="1" t="n">
        <v>-0.0085</v>
      </c>
      <c r="D509" s="1" t="n">
        <v>-0.0037</v>
      </c>
      <c r="E509" s="1" t="n">
        <v>-0.0077</v>
      </c>
      <c r="F509" s="1" t="n">
        <v>-0.006034</v>
      </c>
      <c r="G509" s="1" t="n">
        <v>-0.007804</v>
      </c>
      <c r="I509" s="1" t="n">
        <f aca="false">F509-$B509</f>
        <v>-0.006034</v>
      </c>
      <c r="J509" s="1" t="n">
        <f aca="false">G509-$B509</f>
        <v>-0.007804</v>
      </c>
    </row>
    <row r="510" customFormat="false" ht="15" hidden="false" customHeight="false" outlineLevel="0" collapsed="false">
      <c r="A510" s="7" t="n">
        <v>41030</v>
      </c>
      <c r="B510" s="1" t="n">
        <v>0.0001</v>
      </c>
      <c r="C510" s="1" t="n">
        <v>-0.0617</v>
      </c>
      <c r="D510" s="1" t="n">
        <v>0.0012</v>
      </c>
      <c r="E510" s="1" t="n">
        <v>-0.0095</v>
      </c>
      <c r="F510" s="1" t="n">
        <v>-0.05979</v>
      </c>
      <c r="G510" s="1" t="n">
        <v>-0.070752</v>
      </c>
      <c r="I510" s="1" t="n">
        <f aca="false">F510-$B510</f>
        <v>-0.05989</v>
      </c>
      <c r="J510" s="1" t="n">
        <f aca="false">G510-$B510</f>
        <v>-0.070852</v>
      </c>
    </row>
    <row r="511" customFormat="false" ht="15" hidden="false" customHeight="false" outlineLevel="0" collapsed="false">
      <c r="A511" s="7" t="n">
        <v>41061</v>
      </c>
      <c r="B511" s="1" t="n">
        <v>0</v>
      </c>
      <c r="C511" s="1" t="n">
        <v>0.0389</v>
      </c>
      <c r="D511" s="1" t="n">
        <v>0.0072</v>
      </c>
      <c r="E511" s="1" t="n">
        <v>0.0055</v>
      </c>
      <c r="F511" s="1" t="n">
        <v>0.041465</v>
      </c>
      <c r="G511" s="1" t="n">
        <v>0.038297</v>
      </c>
      <c r="I511" s="1" t="n">
        <f aca="false">F511-$B511</f>
        <v>0.041465</v>
      </c>
      <c r="J511" s="1" t="n">
        <f aca="false">G511-$B511</f>
        <v>0.038297</v>
      </c>
    </row>
    <row r="512" customFormat="false" ht="15" hidden="false" customHeight="false" outlineLevel="0" collapsed="false">
      <c r="A512" s="7" t="n">
        <v>41091</v>
      </c>
      <c r="B512" s="1" t="n">
        <v>0</v>
      </c>
      <c r="C512" s="1" t="n">
        <v>0.0079</v>
      </c>
      <c r="D512" s="1" t="n">
        <v>-0.0276</v>
      </c>
      <c r="E512" s="1" t="n">
        <v>-0.0006</v>
      </c>
      <c r="F512" s="1" t="n">
        <v>0.014363</v>
      </c>
      <c r="G512" s="1" t="n">
        <v>0.002866</v>
      </c>
      <c r="I512" s="1" t="n">
        <f aca="false">F512-$B512</f>
        <v>0.014363</v>
      </c>
      <c r="J512" s="1" t="n">
        <f aca="false">G512-$B512</f>
        <v>0.002866</v>
      </c>
    </row>
    <row r="513" customFormat="false" ht="15" hidden="false" customHeight="false" outlineLevel="0" collapsed="false">
      <c r="A513" s="7" t="n">
        <v>41122</v>
      </c>
      <c r="B513" s="1" t="n">
        <v>0.0001</v>
      </c>
      <c r="C513" s="1" t="n">
        <v>0.0254</v>
      </c>
      <c r="D513" s="1" t="n">
        <v>0.005</v>
      </c>
      <c r="E513" s="1" t="n">
        <v>0.0123</v>
      </c>
      <c r="F513" s="1" t="n">
        <v>0.022744</v>
      </c>
      <c r="G513" s="1" t="n">
        <v>0.03079</v>
      </c>
      <c r="I513" s="1" t="n">
        <f aca="false">F513-$B513</f>
        <v>0.022644</v>
      </c>
      <c r="J513" s="1" t="n">
        <f aca="false">G513-$B513</f>
        <v>0.03069</v>
      </c>
    </row>
    <row r="514" customFormat="false" ht="15" hidden="false" customHeight="false" outlineLevel="0" collapsed="false">
      <c r="A514" s="7" t="n">
        <v>41153</v>
      </c>
      <c r="B514" s="1" t="n">
        <v>0.0001</v>
      </c>
      <c r="C514" s="1" t="n">
        <v>0.0273</v>
      </c>
      <c r="D514" s="1" t="n">
        <v>0.0045</v>
      </c>
      <c r="E514" s="1" t="n">
        <v>0.0162</v>
      </c>
      <c r="F514" s="1" t="n">
        <v>0.02512</v>
      </c>
      <c r="G514" s="1" t="n">
        <v>0.024009</v>
      </c>
      <c r="I514" s="1" t="n">
        <f aca="false">F514-$B514</f>
        <v>0.02502</v>
      </c>
      <c r="J514" s="1" t="n">
        <f aca="false">G514-$B514</f>
        <v>0.023909</v>
      </c>
    </row>
    <row r="515" customFormat="false" ht="15" hidden="false" customHeight="false" outlineLevel="0" collapsed="false">
      <c r="A515" s="7" t="n">
        <v>41183</v>
      </c>
      <c r="B515" s="1" t="n">
        <v>0.0001</v>
      </c>
      <c r="C515" s="1" t="n">
        <v>-0.0176</v>
      </c>
      <c r="D515" s="1" t="n">
        <v>-0.0109</v>
      </c>
      <c r="E515" s="1" t="n">
        <v>0.0352</v>
      </c>
      <c r="F515" s="1" t="n">
        <v>-0.017837</v>
      </c>
      <c r="G515" s="1" t="n">
        <v>-0.007577</v>
      </c>
      <c r="I515" s="1" t="n">
        <f aca="false">F515-$B515</f>
        <v>-0.017937</v>
      </c>
      <c r="J515" s="1" t="n">
        <f aca="false">G515-$B515</f>
        <v>-0.007677</v>
      </c>
    </row>
    <row r="516" customFormat="false" ht="15" hidden="false" customHeight="false" outlineLevel="0" collapsed="false">
      <c r="A516" s="7" t="n">
        <v>41214</v>
      </c>
      <c r="B516" s="1" t="n">
        <v>0.0001</v>
      </c>
      <c r="C516" s="1" t="n">
        <v>0.0078</v>
      </c>
      <c r="D516" s="1" t="n">
        <v>0.006</v>
      </c>
      <c r="E516" s="1" t="n">
        <v>-0.0086</v>
      </c>
      <c r="F516" s="1" t="n">
        <v>0.005326</v>
      </c>
      <c r="G516" s="1" t="n">
        <v>0.01364</v>
      </c>
      <c r="I516" s="1" t="n">
        <f aca="false">F516-$B516</f>
        <v>0.005226</v>
      </c>
      <c r="J516" s="1" t="n">
        <f aca="false">G516-$B516</f>
        <v>0.01354</v>
      </c>
    </row>
    <row r="517" customFormat="false" ht="15" hidden="false" customHeight="false" outlineLevel="0" collapsed="false">
      <c r="A517" s="7" t="n">
        <v>41244</v>
      </c>
      <c r="B517" s="1" t="n">
        <v>0.0001</v>
      </c>
      <c r="C517" s="1" t="n">
        <v>0.0118</v>
      </c>
      <c r="D517" s="1" t="n">
        <v>0.015</v>
      </c>
      <c r="E517" s="1" t="n">
        <v>0.0348</v>
      </c>
      <c r="F517" s="1" t="n">
        <v>0.008508</v>
      </c>
      <c r="G517" s="1" t="n">
        <v>0.024486</v>
      </c>
      <c r="I517" s="1" t="n">
        <f aca="false">F517-$B517</f>
        <v>0.008408</v>
      </c>
      <c r="J517" s="1" t="n">
        <f aca="false">G517-$B517</f>
        <v>0.024386</v>
      </c>
    </row>
    <row r="518" customFormat="false" ht="15" hidden="false" customHeight="false" outlineLevel="0" collapsed="false">
      <c r="A518" s="7" t="n">
        <v>41275</v>
      </c>
      <c r="B518" s="1" t="n">
        <v>0</v>
      </c>
      <c r="C518" s="1" t="n">
        <v>0.0557</v>
      </c>
      <c r="D518" s="1" t="n">
        <v>0.0029</v>
      </c>
      <c r="E518" s="1" t="n">
        <v>0.0101</v>
      </c>
      <c r="F518" s="1" t="n">
        <v>0.052361</v>
      </c>
      <c r="G518" s="1" t="n">
        <v>0.065471</v>
      </c>
      <c r="I518" s="1" t="n">
        <f aca="false">F518-$B518</f>
        <v>0.052361</v>
      </c>
      <c r="J518" s="1" t="n">
        <f aca="false">G518-$B518</f>
        <v>0.065471</v>
      </c>
    </row>
    <row r="519" customFormat="false" ht="15" hidden="false" customHeight="false" outlineLevel="0" collapsed="false">
      <c r="A519" s="7" t="n">
        <v>41306</v>
      </c>
      <c r="B519" s="1" t="n">
        <v>0</v>
      </c>
      <c r="C519" s="1" t="n">
        <v>0.0128</v>
      </c>
      <c r="D519" s="1" t="n">
        <v>-0.003</v>
      </c>
      <c r="E519" s="1" t="n">
        <v>0.0021</v>
      </c>
      <c r="F519" s="1" t="n">
        <v>0.013013</v>
      </c>
      <c r="G519" s="1" t="n">
        <v>0.011986</v>
      </c>
      <c r="I519" s="1" t="n">
        <f aca="false">F519-$B519</f>
        <v>0.013013</v>
      </c>
      <c r="J519" s="1" t="n">
        <f aca="false">G519-$B519</f>
        <v>0.011986</v>
      </c>
    </row>
    <row r="520" customFormat="false" ht="15" hidden="false" customHeight="false" outlineLevel="0" collapsed="false">
      <c r="A520" s="7" t="n">
        <v>41334</v>
      </c>
      <c r="B520" s="1" t="n">
        <v>0</v>
      </c>
      <c r="C520" s="1" t="n">
        <v>0.0404</v>
      </c>
      <c r="D520" s="1" t="n">
        <v>0.0083</v>
      </c>
      <c r="E520" s="1" t="n">
        <v>-0.0022</v>
      </c>
      <c r="F520" s="1" t="n">
        <v>0.037584</v>
      </c>
      <c r="G520" s="1" t="n">
        <v>0.042925</v>
      </c>
      <c r="I520" s="1" t="n">
        <f aca="false">F520-$B520</f>
        <v>0.037584</v>
      </c>
      <c r="J520" s="1" t="n">
        <f aca="false">G520-$B520</f>
        <v>0.042925</v>
      </c>
    </row>
    <row r="521" customFormat="false" ht="15" hidden="false" customHeight="false" outlineLevel="0" collapsed="false">
      <c r="A521" s="7" t="n">
        <v>41365</v>
      </c>
      <c r="B521" s="1" t="n">
        <v>0</v>
      </c>
      <c r="C521" s="1" t="n">
        <v>0.0156</v>
      </c>
      <c r="D521" s="1" t="n">
        <v>-0.0237</v>
      </c>
      <c r="E521" s="1" t="n">
        <v>0.0044</v>
      </c>
      <c r="F521" s="1" t="n">
        <v>0.019622</v>
      </c>
      <c r="G521" s="1" t="n">
        <v>0.015737</v>
      </c>
      <c r="I521" s="1" t="n">
        <f aca="false">F521-$B521</f>
        <v>0.019622</v>
      </c>
      <c r="J521" s="1" t="n">
        <f aca="false">G521-$B521</f>
        <v>0.015737</v>
      </c>
    </row>
    <row r="522" customFormat="false" ht="15" hidden="false" customHeight="false" outlineLevel="0" collapsed="false">
      <c r="A522" s="7" t="n">
        <v>41395</v>
      </c>
      <c r="B522" s="1" t="n">
        <v>0</v>
      </c>
      <c r="C522" s="1" t="n">
        <v>0.028</v>
      </c>
      <c r="D522" s="1" t="n">
        <v>0.017</v>
      </c>
      <c r="E522" s="1" t="n">
        <v>0.0267</v>
      </c>
      <c r="F522" s="1" t="n">
        <v>0.02312</v>
      </c>
      <c r="G522" s="1" t="n">
        <v>0.028394</v>
      </c>
      <c r="I522" s="1" t="n">
        <f aca="false">F522-$B522</f>
        <v>0.02312</v>
      </c>
      <c r="J522" s="1" t="n">
        <f aca="false">G522-$B522</f>
        <v>0.028394</v>
      </c>
    </row>
    <row r="523" customFormat="false" ht="15" hidden="false" customHeight="false" outlineLevel="0" collapsed="false">
      <c r="A523" s="7" t="n">
        <v>41426</v>
      </c>
      <c r="B523" s="1" t="n">
        <v>0</v>
      </c>
      <c r="C523" s="1" t="n">
        <v>-0.012</v>
      </c>
      <c r="D523" s="1" t="n">
        <v>0.0131</v>
      </c>
      <c r="E523" s="1" t="n">
        <v>-0.0005</v>
      </c>
      <c r="F523" s="1" t="n">
        <v>-0.013601</v>
      </c>
      <c r="G523" s="1" t="n">
        <v>-0.010495</v>
      </c>
      <c r="I523" s="1" t="n">
        <f aca="false">F523-$B523</f>
        <v>-0.013601</v>
      </c>
      <c r="J523" s="1" t="n">
        <f aca="false">G523-$B523</f>
        <v>-0.010495</v>
      </c>
    </row>
    <row r="524" customFormat="false" ht="15" hidden="false" customHeight="false" outlineLevel="0" collapsed="false">
      <c r="A524" s="7" t="n">
        <v>41456</v>
      </c>
      <c r="B524" s="1" t="n">
        <v>0</v>
      </c>
      <c r="C524" s="1" t="n">
        <v>0.0565</v>
      </c>
      <c r="D524" s="1" t="n">
        <v>0.0181</v>
      </c>
      <c r="E524" s="1" t="n">
        <v>0.0058</v>
      </c>
      <c r="F524" s="1" t="n">
        <v>0.050672</v>
      </c>
      <c r="G524" s="1" t="n">
        <v>0.055144</v>
      </c>
      <c r="I524" s="1" t="n">
        <f aca="false">F524-$B524</f>
        <v>0.050672</v>
      </c>
      <c r="J524" s="1" t="n">
        <f aca="false">G524-$B524</f>
        <v>0.055144</v>
      </c>
    </row>
    <row r="525" customFormat="false" ht="15" hidden="false" customHeight="false" outlineLevel="0" collapsed="false">
      <c r="A525" s="7" t="n">
        <v>41487</v>
      </c>
      <c r="B525" s="1" t="n">
        <v>0</v>
      </c>
      <c r="C525" s="1" t="n">
        <v>-0.0271</v>
      </c>
      <c r="D525" s="1" t="n">
        <v>0.0032</v>
      </c>
      <c r="E525" s="1" t="n">
        <v>-0.0273</v>
      </c>
      <c r="F525" s="1" t="n">
        <v>-0.029207</v>
      </c>
      <c r="G525" s="1" t="n">
        <v>-0.027829</v>
      </c>
      <c r="I525" s="1" t="n">
        <f aca="false">F525-$B525</f>
        <v>-0.029207</v>
      </c>
      <c r="J525" s="1" t="n">
        <f aca="false">G525-$B525</f>
        <v>-0.027829</v>
      </c>
    </row>
    <row r="526" customFormat="false" ht="15" hidden="false" customHeight="false" outlineLevel="0" collapsed="false">
      <c r="A526" s="7" t="n">
        <v>41518</v>
      </c>
      <c r="B526" s="1" t="n">
        <v>0</v>
      </c>
      <c r="C526" s="1" t="n">
        <v>0.0377</v>
      </c>
      <c r="D526" s="1" t="n">
        <v>0.0289</v>
      </c>
      <c r="E526" s="1" t="n">
        <v>-0.0118</v>
      </c>
      <c r="F526" s="1" t="n">
        <v>0.03166</v>
      </c>
      <c r="G526" s="1" t="n">
        <v>0.040402</v>
      </c>
      <c r="I526" s="1" t="n">
        <f aca="false">F526-$B526</f>
        <v>0.03166</v>
      </c>
      <c r="J526" s="1" t="n">
        <f aca="false">G526-$B526</f>
        <v>0.040402</v>
      </c>
    </row>
    <row r="527" customFormat="false" ht="15" hidden="false" customHeight="false" outlineLevel="0" collapsed="false">
      <c r="A527" s="7" t="n">
        <v>41548</v>
      </c>
      <c r="B527" s="1" t="n">
        <v>0</v>
      </c>
      <c r="C527" s="1" t="n">
        <v>0.0417</v>
      </c>
      <c r="D527" s="1" t="n">
        <v>-0.0156</v>
      </c>
      <c r="E527" s="1" t="n">
        <v>0.0122</v>
      </c>
      <c r="F527" s="1" t="n">
        <v>0.046268</v>
      </c>
      <c r="G527" s="1" t="n">
        <v>0.042828</v>
      </c>
      <c r="I527" s="1" t="n">
        <f aca="false">F527-$B527</f>
        <v>0.046268</v>
      </c>
      <c r="J527" s="1" t="n">
        <f aca="false">G527-$B527</f>
        <v>0.042828</v>
      </c>
    </row>
    <row r="528" customFormat="false" ht="15" hidden="false" customHeight="false" outlineLevel="0" collapsed="false">
      <c r="A528" s="7" t="n">
        <v>41579</v>
      </c>
      <c r="B528" s="1" t="n">
        <v>0</v>
      </c>
      <c r="C528" s="1" t="n">
        <v>0.0311</v>
      </c>
      <c r="D528" s="1" t="n">
        <v>0.0131</v>
      </c>
      <c r="E528" s="1" t="n">
        <v>0.0019</v>
      </c>
      <c r="F528" s="1" t="n">
        <v>0.030817</v>
      </c>
      <c r="G528" s="1" t="n">
        <v>0.023739</v>
      </c>
      <c r="I528" s="1" t="n">
        <f aca="false">F528-$B528</f>
        <v>0.030817</v>
      </c>
      <c r="J528" s="1" t="n">
        <f aca="false">G528-$B528</f>
        <v>0.023739</v>
      </c>
    </row>
    <row r="529" customFormat="false" ht="15" hidden="false" customHeight="false" outlineLevel="0" collapsed="false">
      <c r="A529" s="7" t="n">
        <v>41609</v>
      </c>
      <c r="B529" s="1" t="n">
        <v>0</v>
      </c>
      <c r="C529" s="1" t="n">
        <v>0.0281</v>
      </c>
      <c r="D529" s="1" t="n">
        <v>-0.0044</v>
      </c>
      <c r="E529" s="1" t="n">
        <v>0</v>
      </c>
      <c r="F529" s="1" t="n">
        <v>0.02595</v>
      </c>
      <c r="G529" s="1" t="n">
        <v>0.029739</v>
      </c>
      <c r="I529" s="1" t="n">
        <f aca="false">F529-$B529</f>
        <v>0.02595</v>
      </c>
      <c r="J529" s="1" t="n">
        <f aca="false">G529-$B529</f>
        <v>0.029739</v>
      </c>
    </row>
    <row r="530" customFormat="false" ht="15" hidden="false" customHeight="false" outlineLevel="0" collapsed="false">
      <c r="A530" s="7" t="n">
        <v>41640</v>
      </c>
      <c r="B530" s="1" t="n">
        <v>0</v>
      </c>
      <c r="C530" s="1" t="n">
        <v>-0.0332</v>
      </c>
      <c r="D530" s="1" t="n">
        <v>0.0093</v>
      </c>
      <c r="E530" s="1" t="n">
        <v>-0.0199</v>
      </c>
      <c r="F530" s="1" t="n">
        <v>-0.034666</v>
      </c>
      <c r="G530" s="1" t="n">
        <v>-0.029735</v>
      </c>
      <c r="I530" s="1" t="n">
        <f aca="false">F530-$B530</f>
        <v>-0.034666</v>
      </c>
      <c r="J530" s="1" t="n">
        <f aca="false">G530-$B530</f>
        <v>-0.029735</v>
      </c>
    </row>
    <row r="531" customFormat="false" ht="15" hidden="false" customHeight="false" outlineLevel="0" collapsed="false">
      <c r="A531" s="7" t="n">
        <v>41671</v>
      </c>
      <c r="B531" s="1" t="n">
        <v>0</v>
      </c>
      <c r="C531" s="1" t="n">
        <v>0.0466</v>
      </c>
      <c r="D531" s="1" t="n">
        <v>0.0036</v>
      </c>
      <c r="E531" s="1" t="n">
        <v>-0.0035</v>
      </c>
      <c r="F531" s="1" t="n">
        <v>0.045757</v>
      </c>
      <c r="G531" s="1" t="n">
        <v>0.053918</v>
      </c>
      <c r="I531" s="1" t="n">
        <f aca="false">F531-$B531</f>
        <v>0.045757</v>
      </c>
      <c r="J531" s="1" t="n">
        <f aca="false">G531-$B531</f>
        <v>0.053918</v>
      </c>
    </row>
    <row r="532" customFormat="false" ht="15" hidden="false" customHeight="false" outlineLevel="0" collapsed="false">
      <c r="A532" s="7" t="n">
        <v>41699</v>
      </c>
      <c r="B532" s="1" t="n">
        <v>0</v>
      </c>
      <c r="C532" s="1" t="n">
        <v>0.0043</v>
      </c>
      <c r="D532" s="1" t="n">
        <v>-0.0186</v>
      </c>
      <c r="E532" s="1" t="n">
        <v>0.049</v>
      </c>
      <c r="F532" s="1" t="n">
        <v>0.008056</v>
      </c>
      <c r="G532" s="1" t="n">
        <v>0.007247</v>
      </c>
      <c r="I532" s="1" t="n">
        <f aca="false">F532-$B532</f>
        <v>0.008056</v>
      </c>
      <c r="J532" s="1" t="n">
        <f aca="false">G532-$B532</f>
        <v>0.007247</v>
      </c>
    </row>
    <row r="533" customFormat="false" ht="15" hidden="false" customHeight="false" outlineLevel="0" collapsed="false">
      <c r="A533" s="7" t="n">
        <v>41730</v>
      </c>
      <c r="B533" s="1" t="n">
        <v>0</v>
      </c>
      <c r="C533" s="1" t="n">
        <v>-0.0018</v>
      </c>
      <c r="D533" s="1" t="n">
        <v>-0.0418</v>
      </c>
      <c r="E533" s="1" t="n">
        <v>0.0122</v>
      </c>
      <c r="F533" s="1" t="n">
        <v>0.006555</v>
      </c>
      <c r="G533" s="1" t="n">
        <v>0.003358</v>
      </c>
      <c r="I533" s="1" t="n">
        <f aca="false">F533-$B533</f>
        <v>0.006555</v>
      </c>
      <c r="J533" s="1" t="n">
        <f aca="false">G533-$B533</f>
        <v>0.003358</v>
      </c>
    </row>
    <row r="534" customFormat="false" ht="15" hidden="false" customHeight="false" outlineLevel="0" collapsed="false">
      <c r="A534" s="7" t="n">
        <v>41760</v>
      </c>
      <c r="B534" s="1" t="n">
        <v>0</v>
      </c>
      <c r="C534" s="1" t="n">
        <v>0.0205</v>
      </c>
      <c r="D534" s="1" t="n">
        <v>-0.0185</v>
      </c>
      <c r="E534" s="1" t="n">
        <v>-0.001</v>
      </c>
      <c r="F534" s="1" t="n">
        <v>0.023309</v>
      </c>
      <c r="G534" s="1" t="n">
        <v>0.023075</v>
      </c>
      <c r="I534" s="1" t="n">
        <f aca="false">F534-$B534</f>
        <v>0.023309</v>
      </c>
      <c r="J534" s="1" t="n">
        <f aca="false">G534-$B534</f>
        <v>0.023075</v>
      </c>
    </row>
    <row r="535" customFormat="false" ht="15" hidden="false" customHeight="false" outlineLevel="0" collapsed="false">
      <c r="A535" s="7" t="n">
        <v>41791</v>
      </c>
      <c r="B535" s="1" t="n">
        <v>0</v>
      </c>
      <c r="C535" s="1" t="n">
        <v>0.026</v>
      </c>
      <c r="D535" s="1" t="n">
        <v>0.0305</v>
      </c>
      <c r="E535" s="1" t="n">
        <v>-0.0071</v>
      </c>
      <c r="F535" s="1" t="n">
        <v>0.020635</v>
      </c>
      <c r="G535" s="1" t="n">
        <v>0.028313</v>
      </c>
      <c r="I535" s="1" t="n">
        <f aca="false">F535-$B535</f>
        <v>0.020635</v>
      </c>
      <c r="J535" s="1" t="n">
        <f aca="false">G535-$B535</f>
        <v>0.028313</v>
      </c>
    </row>
    <row r="536" customFormat="false" ht="15" hidden="false" customHeight="false" outlineLevel="0" collapsed="false">
      <c r="A536" s="7" t="n">
        <v>41821</v>
      </c>
      <c r="B536" s="1" t="n">
        <v>0</v>
      </c>
      <c r="C536" s="1" t="n">
        <v>-0.0203</v>
      </c>
      <c r="D536" s="1" t="n">
        <v>-0.0418</v>
      </c>
      <c r="E536" s="1" t="n">
        <v>-0.0008</v>
      </c>
      <c r="F536" s="1" t="n">
        <v>-0.013974</v>
      </c>
      <c r="G536" s="1" t="n">
        <v>-0.022524</v>
      </c>
      <c r="I536" s="1" t="n">
        <f aca="false">F536-$B536</f>
        <v>-0.013974</v>
      </c>
      <c r="J536" s="1" t="n">
        <f aca="false">G536-$B536</f>
        <v>-0.022524</v>
      </c>
    </row>
    <row r="537" customFormat="false" ht="15" hidden="false" customHeight="false" outlineLevel="0" collapsed="false">
      <c r="A537" s="7" t="n">
        <v>41852</v>
      </c>
      <c r="B537" s="1" t="n">
        <v>0</v>
      </c>
      <c r="C537" s="1" t="n">
        <v>0.0424</v>
      </c>
      <c r="D537" s="1" t="n">
        <v>0.0041</v>
      </c>
      <c r="E537" s="1" t="n">
        <v>-0.0057</v>
      </c>
      <c r="F537" s="1" t="n">
        <v>0.039777</v>
      </c>
      <c r="G537" s="1" t="n">
        <v>0.04278</v>
      </c>
      <c r="I537" s="1" t="n">
        <f aca="false">F537-$B537</f>
        <v>0.039777</v>
      </c>
      <c r="J537" s="1" t="n">
        <f aca="false">G537-$B537</f>
        <v>0.04278</v>
      </c>
    </row>
    <row r="538" customFormat="false" ht="15" hidden="false" customHeight="false" outlineLevel="0" collapsed="false">
      <c r="A538" s="7" t="n">
        <v>41883</v>
      </c>
      <c r="B538" s="1" t="n">
        <v>0</v>
      </c>
      <c r="C538" s="1" t="n">
        <v>-0.0196</v>
      </c>
      <c r="D538" s="1" t="n">
        <v>-0.0359</v>
      </c>
      <c r="E538" s="1" t="n">
        <v>-0.0147</v>
      </c>
      <c r="F538" s="1" t="n">
        <v>-0.013928</v>
      </c>
      <c r="G538" s="1" t="n">
        <v>-0.025297</v>
      </c>
      <c r="I538" s="1" t="n">
        <f aca="false">F538-$B538</f>
        <v>-0.013928</v>
      </c>
      <c r="J538" s="1" t="n">
        <f aca="false">G538-$B538</f>
        <v>-0.025297</v>
      </c>
    </row>
    <row r="539" customFormat="false" ht="15" hidden="false" customHeight="false" outlineLevel="0" collapsed="false">
      <c r="A539" s="7" t="n">
        <v>41913</v>
      </c>
      <c r="B539" s="1" t="n">
        <v>0</v>
      </c>
      <c r="C539" s="1" t="n">
        <v>0.0251</v>
      </c>
      <c r="D539" s="1" t="n">
        <v>0.0405</v>
      </c>
      <c r="E539" s="1" t="n">
        <v>-0.0163</v>
      </c>
      <c r="F539" s="1" t="n">
        <v>0.023972</v>
      </c>
      <c r="G539" s="1" t="n">
        <v>0.029875</v>
      </c>
      <c r="I539" s="1" t="n">
        <f aca="false">F539-$B539</f>
        <v>0.023972</v>
      </c>
      <c r="J539" s="1" t="n">
        <f aca="false">G539-$B539</f>
        <v>0.029875</v>
      </c>
    </row>
    <row r="540" customFormat="false" ht="15" hidden="false" customHeight="false" outlineLevel="0" collapsed="false">
      <c r="A540" s="7" t="n">
        <v>41944</v>
      </c>
      <c r="B540" s="1" t="n">
        <v>0</v>
      </c>
      <c r="C540" s="1" t="n">
        <v>0.0256</v>
      </c>
      <c r="D540" s="1" t="n">
        <v>-0.0205</v>
      </c>
      <c r="E540" s="1" t="n">
        <v>-0.0313</v>
      </c>
      <c r="F540" s="1" t="n">
        <v>0.027631</v>
      </c>
      <c r="G540" s="1" t="n">
        <v>0.024246</v>
      </c>
      <c r="I540" s="1" t="n">
        <f aca="false">F540-$B540</f>
        <v>0.027631</v>
      </c>
      <c r="J540" s="1" t="n">
        <f aca="false">G540-$B540</f>
        <v>0.024246</v>
      </c>
    </row>
    <row r="541" customFormat="false" ht="15" hidden="false" customHeight="false" outlineLevel="0" collapsed="false">
      <c r="A541" s="7" t="n">
        <v>41974</v>
      </c>
      <c r="B541" s="1" t="n">
        <v>0</v>
      </c>
      <c r="C541" s="1" t="n">
        <v>-0.0005</v>
      </c>
      <c r="D541" s="1" t="n">
        <v>0.0253</v>
      </c>
      <c r="E541" s="1" t="n">
        <v>0.0212</v>
      </c>
      <c r="F541" s="1" t="n">
        <v>-0.002473</v>
      </c>
      <c r="G541" s="1" t="n">
        <v>0.003469</v>
      </c>
      <c r="I541" s="1" t="n">
        <f aca="false">F541-$B541</f>
        <v>-0.002473</v>
      </c>
      <c r="J541" s="1" t="n">
        <f aca="false">G541-$B541</f>
        <v>0.003469</v>
      </c>
    </row>
    <row r="542" customFormat="false" ht="15" hidden="false" customHeight="false" outlineLevel="0" collapsed="false">
      <c r="A542" s="7" t="n">
        <v>42005</v>
      </c>
      <c r="B542" s="1" t="n">
        <v>0</v>
      </c>
      <c r="C542" s="1" t="n">
        <v>-0.031</v>
      </c>
      <c r="D542" s="1" t="n">
        <v>-0.0059</v>
      </c>
      <c r="E542" s="1" t="n">
        <v>-0.0345</v>
      </c>
      <c r="F542" s="1" t="n">
        <v>-0.02943</v>
      </c>
      <c r="G542" s="1" t="n">
        <v>-0.028079</v>
      </c>
      <c r="I542" s="1" t="n">
        <f aca="false">F542-$B542</f>
        <v>-0.02943</v>
      </c>
      <c r="J542" s="1" t="n">
        <f aca="false">G542-$B542</f>
        <v>-0.028079</v>
      </c>
    </row>
    <row r="543" customFormat="false" ht="15" hidden="false" customHeight="false" outlineLevel="0" collapsed="false">
      <c r="A543" s="7" t="n">
        <v>42036</v>
      </c>
      <c r="B543" s="1" t="n">
        <v>0</v>
      </c>
      <c r="C543" s="1" t="n">
        <v>0.0613</v>
      </c>
      <c r="D543" s="1" t="n">
        <v>0.0061</v>
      </c>
      <c r="E543" s="1" t="n">
        <v>-0.0179</v>
      </c>
      <c r="F543" s="1" t="n">
        <v>0.056976</v>
      </c>
      <c r="G543" s="1" t="n">
        <v>0.058577</v>
      </c>
      <c r="I543" s="1" t="n">
        <f aca="false">F543-$B543</f>
        <v>0.056976</v>
      </c>
      <c r="J543" s="1" t="n">
        <f aca="false">G543-$B543</f>
        <v>0.058577</v>
      </c>
    </row>
    <row r="544" customFormat="false" ht="15" hidden="false" customHeight="false" outlineLevel="0" collapsed="false">
      <c r="A544" s="7" t="n">
        <v>42064</v>
      </c>
      <c r="B544" s="1" t="n">
        <v>0</v>
      </c>
      <c r="C544" s="1" t="n">
        <v>-0.0111</v>
      </c>
      <c r="D544" s="1" t="n">
        <v>0.0305</v>
      </c>
      <c r="E544" s="1" t="n">
        <v>-0.0038</v>
      </c>
      <c r="F544" s="1" t="n">
        <v>-0.014993</v>
      </c>
      <c r="G544" s="1" t="n">
        <v>-0.008459</v>
      </c>
      <c r="I544" s="1" t="n">
        <f aca="false">F544-$B544</f>
        <v>-0.014993</v>
      </c>
      <c r="J544" s="1" t="n">
        <f aca="false">G544-$B544</f>
        <v>-0.008459</v>
      </c>
    </row>
    <row r="545" customFormat="false" ht="15" hidden="false" customHeight="false" outlineLevel="0" collapsed="false">
      <c r="A545" s="7" t="n">
        <v>42095</v>
      </c>
      <c r="B545" s="1" t="n">
        <v>0</v>
      </c>
      <c r="C545" s="1" t="n">
        <v>0.0059</v>
      </c>
      <c r="D545" s="1" t="n">
        <v>-0.0299</v>
      </c>
      <c r="E545" s="1" t="n">
        <v>0.018</v>
      </c>
      <c r="F545" s="1" t="n">
        <v>0.009101</v>
      </c>
      <c r="G545" s="1" t="n">
        <v>0.003948</v>
      </c>
      <c r="I545" s="1" t="n">
        <f aca="false">F545-$B545</f>
        <v>0.009101</v>
      </c>
      <c r="J545" s="1" t="n">
        <f aca="false">G545-$B545</f>
        <v>0.003948</v>
      </c>
    </row>
    <row r="546" customFormat="false" ht="15" hidden="false" customHeight="false" outlineLevel="0" collapsed="false">
      <c r="A546" s="7" t="n">
        <v>42125</v>
      </c>
      <c r="B546" s="1" t="n">
        <v>0</v>
      </c>
      <c r="C546" s="1" t="n">
        <v>0.0137</v>
      </c>
      <c r="D546" s="1" t="n">
        <v>0.0095</v>
      </c>
      <c r="E546" s="1" t="n">
        <v>-0.0111</v>
      </c>
      <c r="F546" s="1" t="n">
        <v>0.012522</v>
      </c>
      <c r="G546" s="1" t="n">
        <v>0.008756</v>
      </c>
      <c r="I546" s="1" t="n">
        <f aca="false">F546-$B546</f>
        <v>0.012522</v>
      </c>
      <c r="J546" s="1" t="n">
        <f aca="false">G546-$B546</f>
        <v>0.008756</v>
      </c>
    </row>
    <row r="547" customFormat="false" ht="15" hidden="false" customHeight="false" outlineLevel="0" collapsed="false">
      <c r="A547" s="7" t="n">
        <v>42156</v>
      </c>
      <c r="B547" s="1" t="n">
        <v>0</v>
      </c>
      <c r="C547" s="1" t="n">
        <v>-0.0152</v>
      </c>
      <c r="D547" s="1" t="n">
        <v>0.0294</v>
      </c>
      <c r="E547" s="1" t="n">
        <v>-0.0082</v>
      </c>
      <c r="F547" s="1" t="n">
        <v>-0.019343</v>
      </c>
      <c r="G547" s="1" t="n">
        <v>-0.021924</v>
      </c>
      <c r="I547" s="1" t="n">
        <f aca="false">F547-$B547</f>
        <v>-0.019343</v>
      </c>
      <c r="J547" s="1" t="n">
        <f aca="false">G547-$B547</f>
        <v>-0.021924</v>
      </c>
    </row>
    <row r="548" customFormat="false" ht="15" hidden="false" customHeight="false" outlineLevel="0" collapsed="false">
      <c r="A548" s="7" t="n">
        <v>42186</v>
      </c>
      <c r="B548" s="1" t="n">
        <v>0</v>
      </c>
      <c r="C548" s="1" t="n">
        <v>0.0157</v>
      </c>
      <c r="D548" s="1" t="n">
        <v>-0.0417</v>
      </c>
      <c r="E548" s="1" t="n">
        <v>-0.0416</v>
      </c>
      <c r="F548" s="1" t="n">
        <v>0.021297</v>
      </c>
      <c r="G548" s="1" t="n">
        <v>0.009476</v>
      </c>
      <c r="I548" s="1" t="n">
        <f aca="false">F548-$B548</f>
        <v>0.021297</v>
      </c>
      <c r="J548" s="1" t="n">
        <f aca="false">G548-$B548</f>
        <v>0.009476</v>
      </c>
    </row>
    <row r="549" customFormat="false" ht="15" hidden="false" customHeight="false" outlineLevel="0" collapsed="false">
      <c r="A549" s="7" t="n">
        <v>42217</v>
      </c>
      <c r="B549" s="1" t="n">
        <v>0</v>
      </c>
      <c r="C549" s="1" t="n">
        <v>-0.0602</v>
      </c>
      <c r="D549" s="1" t="n">
        <v>0.0037</v>
      </c>
      <c r="E549" s="1" t="n">
        <v>0.0275</v>
      </c>
      <c r="F549" s="1" t="n">
        <v>-0.060073</v>
      </c>
      <c r="G549" s="1" t="n">
        <v>-0.053687</v>
      </c>
      <c r="I549" s="1" t="n">
        <f aca="false">F549-$B549</f>
        <v>-0.060073</v>
      </c>
      <c r="J549" s="1" t="n">
        <f aca="false">G549-$B549</f>
        <v>-0.053687</v>
      </c>
    </row>
    <row r="550" customFormat="false" ht="15" hidden="false" customHeight="false" outlineLevel="0" collapsed="false">
      <c r="A550" s="7" t="n">
        <v>42248</v>
      </c>
      <c r="B550" s="1" t="n">
        <v>0</v>
      </c>
      <c r="C550" s="1" t="n">
        <v>-0.0306</v>
      </c>
      <c r="D550" s="1" t="n">
        <v>-0.0263</v>
      </c>
      <c r="E550" s="1" t="n">
        <v>0.0055</v>
      </c>
      <c r="F550" s="1" t="n">
        <v>-0.024548</v>
      </c>
      <c r="G550" s="1" t="n">
        <v>-0.033593</v>
      </c>
      <c r="I550" s="1" t="n">
        <f aca="false">F550-$B550</f>
        <v>-0.024548</v>
      </c>
      <c r="J550" s="1" t="n">
        <f aca="false">G550-$B550</f>
        <v>-0.033593</v>
      </c>
    </row>
    <row r="551" customFormat="false" ht="15" hidden="false" customHeight="false" outlineLevel="0" collapsed="false">
      <c r="A551" s="7" t="n">
        <v>42278</v>
      </c>
      <c r="B551" s="1" t="n">
        <v>0</v>
      </c>
      <c r="C551" s="1" t="n">
        <v>0.0775</v>
      </c>
      <c r="D551" s="1" t="n">
        <v>-0.019</v>
      </c>
      <c r="E551" s="1" t="n">
        <v>-0.0047</v>
      </c>
      <c r="F551" s="1" t="n">
        <v>0.083449</v>
      </c>
      <c r="G551" s="1" t="n">
        <v>0.073634</v>
      </c>
      <c r="I551" s="1" t="n">
        <f aca="false">F551-$B551</f>
        <v>0.083449</v>
      </c>
      <c r="J551" s="1" t="n">
        <f aca="false">G551-$B551</f>
        <v>0.073634</v>
      </c>
    </row>
    <row r="552" customFormat="false" ht="15" hidden="false" customHeight="false" outlineLevel="0" collapsed="false">
      <c r="A552" s="7" t="n">
        <v>42309</v>
      </c>
      <c r="B552" s="1" t="n">
        <v>0</v>
      </c>
      <c r="C552" s="1" t="n">
        <v>0.0057</v>
      </c>
      <c r="D552" s="1" t="n">
        <v>0.0358</v>
      </c>
      <c r="E552" s="1" t="n">
        <v>-0.0043</v>
      </c>
      <c r="F552" s="1" t="n">
        <v>0.003373</v>
      </c>
      <c r="G552" s="1" t="n">
        <v>0.002899</v>
      </c>
      <c r="I552" s="1" t="n">
        <f aca="false">F552-$B552</f>
        <v>0.003373</v>
      </c>
      <c r="J552" s="1" t="n">
        <f aca="false">G552-$B552</f>
        <v>0.002899</v>
      </c>
    </row>
    <row r="553" customFormat="false" ht="15" hidden="false" customHeight="false" outlineLevel="0" collapsed="false">
      <c r="A553" s="7" t="n">
        <v>42339</v>
      </c>
      <c r="B553" s="1" t="n">
        <v>0.0001</v>
      </c>
      <c r="C553" s="1" t="n">
        <v>-0.0215</v>
      </c>
      <c r="D553" s="1" t="n">
        <v>-0.028</v>
      </c>
      <c r="E553" s="1" t="n">
        <v>-0.0257</v>
      </c>
      <c r="F553" s="1" t="n">
        <v>-0.015247</v>
      </c>
      <c r="G553" s="1" t="n">
        <v>-0.025283</v>
      </c>
      <c r="I553" s="1" t="n">
        <f aca="false">F553-$B553</f>
        <v>-0.015347</v>
      </c>
      <c r="J553" s="1" t="n">
        <f aca="false">G553-$B553</f>
        <v>-0.025383</v>
      </c>
    </row>
    <row r="554" customFormat="false" ht="15" hidden="false" customHeight="false" outlineLevel="0" collapsed="false">
      <c r="A554" s="7" t="n">
        <v>42370</v>
      </c>
      <c r="B554" s="1" t="n">
        <v>0.0001</v>
      </c>
      <c r="C554" s="1" t="n">
        <v>-0.0574</v>
      </c>
      <c r="D554" s="1" t="n">
        <v>-0.034</v>
      </c>
      <c r="E554" s="1" t="n">
        <v>0.0208</v>
      </c>
      <c r="F554" s="1" t="n">
        <v>-0.0491</v>
      </c>
      <c r="G554" s="1" t="n">
        <v>-0.055963</v>
      </c>
      <c r="I554" s="1" t="n">
        <f aca="false">F554-$B554</f>
        <v>-0.0492</v>
      </c>
      <c r="J554" s="1" t="n">
        <f aca="false">G554-$B554</f>
        <v>-0.056063</v>
      </c>
    </row>
    <row r="555" customFormat="false" ht="15" hidden="false" customHeight="false" outlineLevel="0" collapsed="false">
      <c r="A555" s="7" t="n">
        <v>42401</v>
      </c>
      <c r="B555" s="1" t="n">
        <v>0.0002</v>
      </c>
      <c r="C555" s="1" t="n">
        <v>-0.0006</v>
      </c>
      <c r="D555" s="1" t="n">
        <v>0.0073</v>
      </c>
      <c r="E555" s="1" t="n">
        <v>-0.0061</v>
      </c>
      <c r="F555" s="1" t="n">
        <v>-0.001742</v>
      </c>
      <c r="G555" s="1" t="n">
        <v>0.011832</v>
      </c>
      <c r="I555" s="1" t="n">
        <f aca="false">F555-$B555</f>
        <v>-0.001942</v>
      </c>
      <c r="J555" s="1" t="n">
        <f aca="false">G555-$B555</f>
        <v>0.011632</v>
      </c>
    </row>
    <row r="556" customFormat="false" ht="15" hidden="false" customHeight="false" outlineLevel="0" collapsed="false">
      <c r="A556" s="7" t="n">
        <v>42430</v>
      </c>
      <c r="B556" s="1" t="n">
        <v>0.0002</v>
      </c>
      <c r="C556" s="1" t="n">
        <v>0.0695</v>
      </c>
      <c r="D556" s="1" t="n">
        <v>0.0075</v>
      </c>
      <c r="E556" s="1" t="n">
        <v>0.0122</v>
      </c>
      <c r="F556" s="1" t="n">
        <v>0.06734</v>
      </c>
      <c r="G556" s="1" t="n">
        <v>0.081025</v>
      </c>
      <c r="I556" s="1" t="n">
        <f aca="false">F556-$B556</f>
        <v>0.06714</v>
      </c>
      <c r="J556" s="1" t="n">
        <f aca="false">G556-$B556</f>
        <v>0.080825</v>
      </c>
    </row>
    <row r="557" customFormat="false" ht="15" hidden="false" customHeight="false" outlineLevel="0" collapsed="false">
      <c r="A557" s="7" t="n">
        <v>42461</v>
      </c>
      <c r="B557" s="1" t="n">
        <v>0.0001</v>
      </c>
      <c r="C557" s="1" t="n">
        <v>0.0092</v>
      </c>
      <c r="D557" s="1" t="n">
        <v>0.0077</v>
      </c>
      <c r="E557" s="1" t="n">
        <v>0.0322</v>
      </c>
      <c r="F557" s="1" t="n">
        <v>0.003747</v>
      </c>
      <c r="G557" s="1" t="n">
        <v>0.012821</v>
      </c>
      <c r="I557" s="1" t="n">
        <f aca="false">F557-$B557</f>
        <v>0.003647</v>
      </c>
      <c r="J557" s="1" t="n">
        <f aca="false">G557-$B557</f>
        <v>0.012721</v>
      </c>
    </row>
    <row r="558" customFormat="false" ht="15" hidden="false" customHeight="false" outlineLevel="0" collapsed="false">
      <c r="A558" s="7" t="n">
        <v>42491</v>
      </c>
      <c r="B558" s="1" t="n">
        <v>0.0001</v>
      </c>
      <c r="C558" s="1" t="n">
        <v>0.0178</v>
      </c>
      <c r="D558" s="1" t="n">
        <v>-0.0018</v>
      </c>
      <c r="E558" s="1" t="n">
        <v>-0.0162</v>
      </c>
      <c r="F558" s="1" t="n">
        <v>0.018487</v>
      </c>
      <c r="G558" s="1" t="n">
        <v>0.01448</v>
      </c>
      <c r="I558" s="1" t="n">
        <f aca="false">F558-$B558</f>
        <v>0.018387</v>
      </c>
      <c r="J558" s="1" t="n">
        <f aca="false">G558-$B558</f>
        <v>0.01438</v>
      </c>
    </row>
    <row r="559" customFormat="false" ht="15" hidden="false" customHeight="false" outlineLevel="0" collapsed="false">
      <c r="A559" s="7" t="n">
        <v>42522</v>
      </c>
      <c r="B559" s="1" t="n">
        <v>0.0002</v>
      </c>
      <c r="C559" s="1" t="n">
        <v>-0.0003</v>
      </c>
      <c r="D559" s="1" t="n">
        <v>0.006</v>
      </c>
      <c r="E559" s="1" t="n">
        <v>-0.0149</v>
      </c>
      <c r="F559" s="1" t="n">
        <v>0.002675</v>
      </c>
      <c r="G559" s="1" t="n">
        <v>-0.000108</v>
      </c>
      <c r="I559" s="1" t="n">
        <f aca="false">F559-$B559</f>
        <v>0.002475</v>
      </c>
      <c r="J559" s="1" t="n">
        <f aca="false">G559-$B559</f>
        <v>-0.000308</v>
      </c>
    </row>
    <row r="560" customFormat="false" ht="15" hidden="false" customHeight="false" outlineLevel="0" collapsed="false">
      <c r="A560" s="7" t="n">
        <v>42552</v>
      </c>
      <c r="B560" s="1" t="n">
        <v>0.0002</v>
      </c>
      <c r="C560" s="1" t="n">
        <v>0.0394</v>
      </c>
      <c r="D560" s="1" t="n">
        <v>0.0245</v>
      </c>
      <c r="E560" s="1" t="n">
        <v>-0.0124</v>
      </c>
      <c r="F560" s="1" t="n">
        <v>0.036571</v>
      </c>
      <c r="G560" s="1" t="n">
        <v>0.043329</v>
      </c>
      <c r="I560" s="1" t="n">
        <f aca="false">F560-$B560</f>
        <v>0.036371</v>
      </c>
      <c r="J560" s="1" t="n">
        <f aca="false">G560-$B560</f>
        <v>0.043129</v>
      </c>
    </row>
    <row r="561" customFormat="false" ht="15" hidden="false" customHeight="false" outlineLevel="0" collapsed="false">
      <c r="A561" s="7" t="n">
        <v>42583</v>
      </c>
      <c r="B561" s="1" t="n">
        <v>0.0002</v>
      </c>
      <c r="C561" s="1" t="n">
        <v>0.0049</v>
      </c>
      <c r="D561" s="1" t="n">
        <v>0.0117</v>
      </c>
      <c r="E561" s="1" t="n">
        <v>0.0317</v>
      </c>
      <c r="F561" s="1" t="n">
        <v>0.001247</v>
      </c>
      <c r="G561" s="1" t="n">
        <v>0.002249</v>
      </c>
      <c r="I561" s="1" t="n">
        <f aca="false">F561-$B561</f>
        <v>0.001047</v>
      </c>
      <c r="J561" s="1" t="n">
        <f aca="false">G561-$B561</f>
        <v>0.002049</v>
      </c>
    </row>
    <row r="562" customFormat="false" ht="15" hidden="false" customHeight="false" outlineLevel="0" collapsed="false">
      <c r="A562" s="7" t="n">
        <v>42614</v>
      </c>
      <c r="B562" s="1" t="n">
        <v>0.0002</v>
      </c>
      <c r="C562" s="1" t="n">
        <v>0.0027</v>
      </c>
      <c r="D562" s="1" t="n">
        <v>0.0208</v>
      </c>
      <c r="E562" s="1" t="n">
        <v>-0.0119</v>
      </c>
      <c r="F562" s="1" t="n">
        <v>0.000446</v>
      </c>
      <c r="G562" s="1" t="n">
        <v>0.000625</v>
      </c>
      <c r="I562" s="1" t="n">
        <f aca="false">F562-$B562</f>
        <v>0.000246</v>
      </c>
      <c r="J562" s="1" t="n">
        <f aca="false">G562-$B562</f>
        <v>0.000425</v>
      </c>
    </row>
    <row r="563" customFormat="false" ht="15" hidden="false" customHeight="false" outlineLevel="0" collapsed="false">
      <c r="A563" s="7" t="n">
        <v>42644</v>
      </c>
      <c r="B563" s="1" t="n">
        <v>0.0002</v>
      </c>
      <c r="C563" s="1" t="n">
        <v>-0.0201</v>
      </c>
      <c r="D563" s="1" t="n">
        <v>-0.0439</v>
      </c>
      <c r="E563" s="1" t="n">
        <v>0.0411</v>
      </c>
      <c r="F563" s="1" t="n">
        <v>-0.017944</v>
      </c>
      <c r="G563" s="1" t="n">
        <v>-0.024156</v>
      </c>
      <c r="I563" s="1" t="n">
        <f aca="false">F563-$B563</f>
        <v>-0.018144</v>
      </c>
      <c r="J563" s="1" t="n">
        <f aca="false">G563-$B563</f>
        <v>-0.024356</v>
      </c>
    </row>
    <row r="564" customFormat="false" ht="15" hidden="false" customHeight="false" outlineLevel="0" collapsed="false">
      <c r="A564" s="7" t="n">
        <v>42675</v>
      </c>
      <c r="B564" s="1" t="n">
        <v>0.0001</v>
      </c>
      <c r="C564" s="1" t="n">
        <v>0.0486</v>
      </c>
      <c r="D564" s="1" t="n">
        <v>0.056</v>
      </c>
      <c r="E564" s="1" t="n">
        <v>0.0829</v>
      </c>
      <c r="F564" s="1" t="n">
        <v>0.035812</v>
      </c>
      <c r="G564" s="1" t="n">
        <v>0.051613</v>
      </c>
      <c r="I564" s="1" t="n">
        <f aca="false">F564-$B564</f>
        <v>0.035712</v>
      </c>
      <c r="J564" s="1" t="n">
        <f aca="false">G564-$B564</f>
        <v>0.051513</v>
      </c>
    </row>
    <row r="565" customFormat="false" ht="15" hidden="false" customHeight="false" outlineLevel="0" collapsed="false">
      <c r="A565" s="7" t="n">
        <v>42705</v>
      </c>
      <c r="B565" s="1" t="n">
        <v>0.0003</v>
      </c>
      <c r="C565" s="1" t="n">
        <v>0.0181</v>
      </c>
      <c r="D565" s="1" t="n">
        <v>0.0014</v>
      </c>
      <c r="E565" s="1" t="n">
        <v>0.0347</v>
      </c>
      <c r="F565" s="1" t="n">
        <v>0.019204</v>
      </c>
      <c r="G565" s="1" t="n">
        <v>0.01078</v>
      </c>
      <c r="I565" s="1" t="n">
        <f aca="false">F565-$B565</f>
        <v>0.018904</v>
      </c>
      <c r="J565" s="1" t="n">
        <f aca="false">G565-$B565</f>
        <v>0.01048</v>
      </c>
    </row>
    <row r="566" customFormat="false" ht="15" hidden="false" customHeight="false" outlineLevel="0" collapsed="false">
      <c r="A566" s="7" t="n">
        <v>42736</v>
      </c>
      <c r="B566" s="1" t="n">
        <v>0.0004</v>
      </c>
      <c r="C566" s="1" t="n">
        <v>0.0194</v>
      </c>
      <c r="D566" s="1" t="n">
        <v>-0.0116</v>
      </c>
      <c r="E566" s="1" t="n">
        <v>-0.0276</v>
      </c>
      <c r="F566" s="1" t="n">
        <v>0.019384</v>
      </c>
      <c r="G566" s="1" t="n">
        <v>0.021092</v>
      </c>
      <c r="I566" s="1" t="n">
        <f aca="false">F566-$B566</f>
        <v>0.018984</v>
      </c>
      <c r="J566" s="1" t="n">
        <f aca="false">G566-$B566</f>
        <v>0.020692</v>
      </c>
    </row>
    <row r="567" customFormat="false" ht="15" hidden="false" customHeight="false" outlineLevel="0" collapsed="false">
      <c r="A567" s="7" t="n">
        <v>42767</v>
      </c>
      <c r="B567" s="1" t="n">
        <v>0.0004</v>
      </c>
      <c r="C567" s="1" t="n">
        <v>0.0355</v>
      </c>
      <c r="D567" s="1" t="n">
        <v>-0.0215</v>
      </c>
      <c r="E567" s="1" t="n">
        <v>-0.015</v>
      </c>
      <c r="F567" s="1" t="n">
        <v>0.039459</v>
      </c>
      <c r="G567" s="1" t="n">
        <v>0.031621</v>
      </c>
      <c r="I567" s="1" t="n">
        <f aca="false">F567-$B567</f>
        <v>0.039059</v>
      </c>
      <c r="J567" s="1" t="n">
        <f aca="false">G567-$B567</f>
        <v>0.031221</v>
      </c>
    </row>
    <row r="568" customFormat="false" ht="15" hidden="false" customHeight="false" outlineLevel="0" collapsed="false">
      <c r="A568" s="7" t="n">
        <v>42795</v>
      </c>
      <c r="B568" s="1" t="n">
        <v>0.0003</v>
      </c>
      <c r="C568" s="1" t="n">
        <v>0.0017</v>
      </c>
      <c r="D568" s="1" t="n">
        <v>0.0113</v>
      </c>
      <c r="E568" s="1" t="n">
        <v>-0.0333</v>
      </c>
      <c r="F568" s="1" t="n">
        <v>0.001665</v>
      </c>
      <c r="G568" s="1" t="n">
        <v>0.000183</v>
      </c>
      <c r="I568" s="1" t="n">
        <f aca="false">F568-$B568</f>
        <v>0.001365</v>
      </c>
      <c r="J568" s="1" t="n">
        <f aca="false">G568-$B568</f>
        <v>-0.000117</v>
      </c>
    </row>
    <row r="569" customFormat="false" ht="15" hidden="false" customHeight="false" outlineLevel="0" collapsed="false">
      <c r="A569" s="7" t="n">
        <v>42826</v>
      </c>
      <c r="B569" s="1" t="n">
        <v>0.0005</v>
      </c>
      <c r="C569" s="1" t="n">
        <v>0.0108</v>
      </c>
      <c r="D569" s="1" t="n">
        <v>0.0066</v>
      </c>
      <c r="E569" s="1" t="n">
        <v>-0.0205</v>
      </c>
      <c r="F569" s="1" t="n">
        <v>0.010591</v>
      </c>
      <c r="G569" s="1" t="n">
        <v>0.006858</v>
      </c>
      <c r="I569" s="1" t="n">
        <f aca="false">F569-$B569</f>
        <v>0.010091</v>
      </c>
      <c r="J569" s="1" t="n">
        <f aca="false">G569-$B569</f>
        <v>0.006358</v>
      </c>
    </row>
    <row r="570" customFormat="false" ht="15" hidden="false" customHeight="false" outlineLevel="0" collapsed="false">
      <c r="A570" s="7" t="n">
        <v>42856</v>
      </c>
      <c r="B570" s="1" t="n">
        <v>0.0006</v>
      </c>
      <c r="C570" s="1" t="n">
        <v>0.0107</v>
      </c>
      <c r="D570" s="1" t="n">
        <v>-0.0252</v>
      </c>
      <c r="E570" s="1" t="n">
        <v>-0.0382</v>
      </c>
      <c r="F570" s="1" t="n">
        <v>0.014552</v>
      </c>
      <c r="G570" s="1" t="n">
        <v>0.004471</v>
      </c>
      <c r="I570" s="1" t="n">
        <f aca="false">F570-$B570</f>
        <v>0.013952</v>
      </c>
      <c r="J570" s="1" t="n">
        <f aca="false">G570-$B570</f>
        <v>0.003871</v>
      </c>
    </row>
    <row r="571" customFormat="false" ht="15" hidden="false" customHeight="false" outlineLevel="0" collapsed="false">
      <c r="A571" s="7" t="n">
        <v>42887</v>
      </c>
      <c r="B571" s="1" t="n">
        <v>0.0006</v>
      </c>
      <c r="C571" s="1" t="n">
        <v>0.0079</v>
      </c>
      <c r="D571" s="1" t="n">
        <v>0.0221</v>
      </c>
      <c r="E571" s="1" t="n">
        <v>0.015</v>
      </c>
      <c r="F571" s="1" t="n">
        <v>0.005798</v>
      </c>
      <c r="G571" s="1" t="n">
        <v>0.013051</v>
      </c>
      <c r="I571" s="1" t="n">
        <f aca="false">F571-$B571</f>
        <v>0.005198</v>
      </c>
      <c r="J571" s="1" t="n">
        <f aca="false">G571-$B571</f>
        <v>0.012451</v>
      </c>
    </row>
    <row r="572" customFormat="false" ht="15" hidden="false" customHeight="false" outlineLevel="0" collapsed="false">
      <c r="A572" s="7" t="n">
        <v>42917</v>
      </c>
      <c r="B572" s="1" t="n">
        <v>0.0007</v>
      </c>
      <c r="C572" s="1" t="n">
        <v>0.0188</v>
      </c>
      <c r="D572" s="1" t="n">
        <v>-0.0145</v>
      </c>
      <c r="E572" s="1" t="n">
        <v>-0.0023</v>
      </c>
      <c r="F572" s="1" t="n">
        <v>0.020696</v>
      </c>
      <c r="G572" s="1" t="n">
        <v>0.015782</v>
      </c>
      <c r="I572" s="1" t="n">
        <f aca="false">F572-$B572</f>
        <v>0.019996</v>
      </c>
      <c r="J572" s="1" t="n">
        <f aca="false">G572-$B572</f>
        <v>0.015082</v>
      </c>
    </row>
    <row r="573" customFormat="false" ht="15" hidden="false" customHeight="false" outlineLevel="0" collapsed="false">
      <c r="A573" s="7" t="n">
        <v>42948</v>
      </c>
      <c r="B573" s="1" t="n">
        <v>0.0009</v>
      </c>
      <c r="C573" s="1" t="n">
        <v>0.0018</v>
      </c>
      <c r="D573" s="1" t="n">
        <v>-0.0167</v>
      </c>
      <c r="E573" s="1" t="n">
        <v>-0.0213</v>
      </c>
      <c r="F573" s="1" t="n">
        <v>0.002238</v>
      </c>
      <c r="G573" s="1" t="n">
        <v>-0.010591</v>
      </c>
      <c r="I573" s="1" t="n">
        <f aca="false">F573-$B573</f>
        <v>0.001338</v>
      </c>
      <c r="J573" s="1" t="n">
        <f aca="false">G573-$B573</f>
        <v>-0.011491</v>
      </c>
    </row>
    <row r="574" customFormat="false" ht="15" hidden="false" customHeight="false" outlineLevel="0" collapsed="false">
      <c r="A574" s="7" t="n">
        <v>42979</v>
      </c>
      <c r="B574" s="1" t="n">
        <v>0.0009</v>
      </c>
      <c r="C574" s="1" t="n">
        <v>0.0249</v>
      </c>
      <c r="D574" s="1" t="n">
        <v>0.0445</v>
      </c>
      <c r="E574" s="1" t="n">
        <v>0.0315</v>
      </c>
      <c r="F574" s="1" t="n">
        <v>0.02005</v>
      </c>
      <c r="G574" s="1" t="n">
        <v>0.029365</v>
      </c>
      <c r="I574" s="1" t="n">
        <f aca="false">F574-$B574</f>
        <v>0.01915</v>
      </c>
      <c r="J574" s="1" t="n">
        <f aca="false">G574-$B574</f>
        <v>0.028465</v>
      </c>
    </row>
    <row r="575" customFormat="false" ht="15" hidden="false" customHeight="false" outlineLevel="0" collapsed="false">
      <c r="A575" s="7" t="n">
        <v>43009</v>
      </c>
      <c r="B575" s="1" t="n">
        <v>0.0009</v>
      </c>
      <c r="C575" s="1" t="n">
        <v>0.0226</v>
      </c>
      <c r="D575" s="1" t="n">
        <v>-0.0193</v>
      </c>
      <c r="E575" s="1" t="n">
        <v>0.0013</v>
      </c>
      <c r="F575" s="1" t="n">
        <v>0.024132</v>
      </c>
      <c r="G575" s="1" t="n">
        <v>0.010352</v>
      </c>
      <c r="I575" s="1" t="n">
        <f aca="false">F575-$B575</f>
        <v>0.023232</v>
      </c>
      <c r="J575" s="1" t="n">
        <f aca="false">G575-$B575</f>
        <v>0.009452</v>
      </c>
    </row>
    <row r="576" customFormat="false" ht="15" hidden="false" customHeight="false" outlineLevel="0" collapsed="false">
      <c r="A576" s="7" t="n">
        <v>43040</v>
      </c>
      <c r="B576" s="1" t="n">
        <v>0.0008</v>
      </c>
      <c r="C576" s="1" t="n">
        <v>0.0312</v>
      </c>
      <c r="D576" s="1" t="n">
        <v>-0.006</v>
      </c>
      <c r="E576" s="1" t="n">
        <v>-0.0009</v>
      </c>
      <c r="F576" s="1" t="n">
        <v>0.031389</v>
      </c>
      <c r="G576" s="1" t="n">
        <v>0.038786</v>
      </c>
      <c r="I576" s="1" t="n">
        <f aca="false">F576-$B576</f>
        <v>0.030589</v>
      </c>
      <c r="J576" s="1" t="n">
        <f aca="false">G576-$B576</f>
        <v>0.037986</v>
      </c>
    </row>
    <row r="577" customFormat="false" ht="15" hidden="false" customHeight="false" outlineLevel="0" collapsed="false">
      <c r="A577" s="7" t="n">
        <v>43070</v>
      </c>
      <c r="B577" s="1" t="n">
        <v>0.0009</v>
      </c>
      <c r="C577" s="1" t="n">
        <v>0.0106</v>
      </c>
      <c r="D577" s="1" t="n">
        <v>-0.0132</v>
      </c>
      <c r="E577" s="1" t="n">
        <v>0.0005</v>
      </c>
      <c r="F577" s="1" t="n">
        <v>0.011149</v>
      </c>
      <c r="G577" s="1" t="n">
        <v>0.013102</v>
      </c>
      <c r="I577" s="1" t="n">
        <f aca="false">F577-$B577</f>
        <v>0.010249</v>
      </c>
      <c r="J577" s="1" t="n">
        <f aca="false">G577-$B577</f>
        <v>0.012202</v>
      </c>
    </row>
    <row r="578" customFormat="false" ht="15" hidden="false" customHeight="false" outlineLevel="0" collapsed="false">
      <c r="A578" s="7" t="n">
        <v>43101</v>
      </c>
      <c r="B578" s="1" t="n">
        <v>0.0011</v>
      </c>
      <c r="C578" s="1" t="n">
        <v>0.0558</v>
      </c>
      <c r="D578" s="1" t="n">
        <v>-0.0316</v>
      </c>
      <c r="E578" s="1" t="n">
        <v>-0.0132</v>
      </c>
      <c r="F578" s="1" t="n">
        <v>0.05806</v>
      </c>
      <c r="G578" s="1" t="n">
        <v>0.044707</v>
      </c>
      <c r="I578" s="1" t="n">
        <f aca="false">F578-$B578</f>
        <v>0.05696</v>
      </c>
      <c r="J578" s="1" t="n">
        <f aca="false">G578-$B578</f>
        <v>0.043607</v>
      </c>
    </row>
    <row r="579" customFormat="false" ht="15" hidden="false" customHeight="false" outlineLevel="0" collapsed="false">
      <c r="A579" s="7" t="n">
        <v>43132</v>
      </c>
      <c r="B579" s="1" t="n">
        <v>0.0011</v>
      </c>
      <c r="C579" s="1" t="n">
        <v>-0.0364</v>
      </c>
      <c r="D579" s="1" t="n">
        <v>0.0027</v>
      </c>
      <c r="E579" s="1" t="n">
        <v>-0.011</v>
      </c>
      <c r="F579" s="1" t="n">
        <v>-0.037661</v>
      </c>
      <c r="G579" s="1" t="n">
        <v>-0.043355</v>
      </c>
      <c r="I579" s="1" t="n">
        <f aca="false">F579-$B579</f>
        <v>-0.038761</v>
      </c>
      <c r="J579" s="1" t="n">
        <f aca="false">G579-$B579</f>
        <v>-0.044455</v>
      </c>
    </row>
    <row r="580" customFormat="false" ht="15" hidden="false" customHeight="false" outlineLevel="0" collapsed="false">
      <c r="A580" s="7" t="n">
        <v>43160</v>
      </c>
      <c r="B580" s="1" t="n">
        <v>0.0012</v>
      </c>
      <c r="C580" s="1" t="n">
        <v>-0.0235</v>
      </c>
      <c r="D580" s="1" t="n">
        <v>0.0405</v>
      </c>
      <c r="E580" s="1" t="n">
        <v>-0.0021</v>
      </c>
      <c r="F580" s="1" t="n">
        <v>-0.025459</v>
      </c>
      <c r="G580" s="1" t="n">
        <v>-0.008575</v>
      </c>
      <c r="I580" s="1" t="n">
        <f aca="false">F580-$B580</f>
        <v>-0.026659</v>
      </c>
      <c r="J580" s="1" t="n">
        <f aca="false">G580-$B580</f>
        <v>-0.009775</v>
      </c>
    </row>
    <row r="581" customFormat="false" ht="15" hidden="false" customHeight="false" outlineLevel="0" collapsed="false">
      <c r="A581" s="7" t="n">
        <v>43191</v>
      </c>
      <c r="B581" s="1" t="n">
        <v>0.0014</v>
      </c>
      <c r="C581" s="1" t="n">
        <v>0.0027</v>
      </c>
      <c r="D581" s="1" t="n">
        <v>0.0109</v>
      </c>
      <c r="E581" s="1" t="n">
        <v>0.0053</v>
      </c>
      <c r="F581" s="1" t="n">
        <v>0.00377</v>
      </c>
      <c r="G581" s="1" t="n">
        <v>0.003884</v>
      </c>
      <c r="I581" s="1" t="n">
        <f aca="false">F581-$B581</f>
        <v>0.00237</v>
      </c>
      <c r="J581" s="1" t="n">
        <f aca="false">G581-$B581</f>
        <v>0.002484</v>
      </c>
    </row>
    <row r="582" customFormat="false" ht="15" hidden="false" customHeight="false" outlineLevel="0" collapsed="false">
      <c r="A582" s="7" t="n">
        <v>43221</v>
      </c>
      <c r="B582" s="1" t="n">
        <v>0.0014</v>
      </c>
      <c r="C582" s="1" t="n">
        <v>0.0266</v>
      </c>
      <c r="D582" s="1" t="n">
        <v>0.0524</v>
      </c>
      <c r="E582" s="1" t="n">
        <v>-0.0314</v>
      </c>
      <c r="F582" s="1" t="n">
        <v>0.0238</v>
      </c>
      <c r="G582" s="1" t="n">
        <v>0.015564</v>
      </c>
      <c r="I582" s="1" t="n">
        <f aca="false">F582-$B582</f>
        <v>0.0224</v>
      </c>
      <c r="J582" s="1" t="n">
        <f aca="false">G582-$B582</f>
        <v>0.014164</v>
      </c>
    </row>
    <row r="583" customFormat="false" ht="15" hidden="false" customHeight="false" outlineLevel="0" collapsed="false">
      <c r="A583" s="7" t="n">
        <v>43252</v>
      </c>
      <c r="B583" s="1" t="n">
        <v>0.0014</v>
      </c>
      <c r="C583" s="1" t="n">
        <v>0.0049</v>
      </c>
      <c r="D583" s="1" t="n">
        <v>0.0111</v>
      </c>
      <c r="E583" s="1" t="n">
        <v>-0.0233</v>
      </c>
      <c r="F583" s="1" t="n">
        <v>0.00684</v>
      </c>
      <c r="G583" s="1" t="n">
        <v>0.011219</v>
      </c>
      <c r="I583" s="1" t="n">
        <f aca="false">F583-$B583</f>
        <v>0.00544</v>
      </c>
      <c r="J583" s="1" t="n">
        <f aca="false">G583-$B583</f>
        <v>0.009819</v>
      </c>
    </row>
    <row r="584" customFormat="false" ht="15" hidden="false" customHeight="false" outlineLevel="0" collapsed="false">
      <c r="A584" s="7" t="n">
        <v>43282</v>
      </c>
      <c r="B584" s="1" t="n">
        <v>0.0016</v>
      </c>
      <c r="C584" s="1" t="n">
        <v>0.032</v>
      </c>
      <c r="D584" s="1" t="n">
        <v>-0.0223</v>
      </c>
      <c r="E584" s="1" t="n">
        <v>0.0049</v>
      </c>
      <c r="F584" s="1" t="n">
        <v>0.037144</v>
      </c>
      <c r="G584" s="1" t="n">
        <v>0.032295</v>
      </c>
      <c r="I584" s="1" t="n">
        <f aca="false">F584-$B584</f>
        <v>0.035544</v>
      </c>
      <c r="J584" s="1" t="n">
        <f aca="false">G584-$B584</f>
        <v>0.030695</v>
      </c>
    </row>
    <row r="585" customFormat="false" ht="15" hidden="false" customHeight="false" outlineLevel="0" collapsed="false">
      <c r="A585" s="7" t="n">
        <v>43313</v>
      </c>
      <c r="B585" s="1" t="n">
        <v>0.0016</v>
      </c>
      <c r="C585" s="1" t="n">
        <v>0.0345</v>
      </c>
      <c r="D585" s="1" t="n">
        <v>0.0114</v>
      </c>
      <c r="E585" s="1" t="n">
        <v>-0.0391</v>
      </c>
      <c r="F585" s="1" t="n">
        <v>0.032938</v>
      </c>
      <c r="G585" s="1" t="n">
        <v>0.020003</v>
      </c>
      <c r="I585" s="1" t="n">
        <f aca="false">F585-$B585</f>
        <v>0.031338</v>
      </c>
      <c r="J585" s="1" t="n">
        <f aca="false">G585-$B585</f>
        <v>0.018403</v>
      </c>
    </row>
    <row r="586" customFormat="false" ht="15" hidden="false" customHeight="false" outlineLevel="0" collapsed="false">
      <c r="A586" s="7" t="n">
        <v>43344</v>
      </c>
      <c r="B586" s="1" t="n">
        <v>0.0015</v>
      </c>
      <c r="C586" s="1" t="n">
        <v>0.0006</v>
      </c>
      <c r="D586" s="1" t="n">
        <v>-0.0229</v>
      </c>
      <c r="E586" s="1" t="n">
        <v>-0.0162</v>
      </c>
      <c r="F586" s="1" t="n">
        <v>0.005138</v>
      </c>
      <c r="G586" s="1" t="n">
        <v>0.001597</v>
      </c>
      <c r="I586" s="1" t="n">
        <f aca="false">F586-$B586</f>
        <v>0.003638</v>
      </c>
      <c r="J586" s="1" t="n">
        <f aca="false">G586-$B586</f>
        <v>9.69999999999999E-005</v>
      </c>
    </row>
    <row r="587" customFormat="false" ht="15" hidden="false" customHeight="false" outlineLevel="0" collapsed="false">
      <c r="A587" s="7" t="n">
        <v>43374</v>
      </c>
      <c r="B587" s="1" t="n">
        <v>0.0019</v>
      </c>
      <c r="C587" s="1" t="n">
        <v>-0.0765</v>
      </c>
      <c r="D587" s="1" t="n">
        <v>-0.047</v>
      </c>
      <c r="E587" s="1" t="n">
        <v>0.0338</v>
      </c>
      <c r="F587" s="1" t="n">
        <v>-0.068409</v>
      </c>
      <c r="G587" s="1" t="n">
        <v>-0.07138</v>
      </c>
      <c r="I587" s="1" t="n">
        <f aca="false">F587-$B587</f>
        <v>-0.070309</v>
      </c>
      <c r="J587" s="1" t="n">
        <f aca="false">G587-$B587</f>
        <v>-0.07328</v>
      </c>
    </row>
    <row r="588" customFormat="false" ht="15" hidden="false" customHeight="false" outlineLevel="0" collapsed="false">
      <c r="A588" s="7" t="n">
        <v>43405</v>
      </c>
      <c r="B588" s="1" t="n">
        <v>0.0018</v>
      </c>
      <c r="C588" s="1" t="n">
        <v>0.0171</v>
      </c>
      <c r="D588" s="1" t="n">
        <v>-0.0073</v>
      </c>
      <c r="E588" s="1" t="n">
        <v>0.0036</v>
      </c>
      <c r="F588" s="1" t="n">
        <v>0.019752</v>
      </c>
      <c r="G588" s="1" t="n">
        <v>0.027402</v>
      </c>
      <c r="I588" s="1" t="n">
        <f aca="false">F588-$B588</f>
        <v>0.017952</v>
      </c>
      <c r="J588" s="1" t="n">
        <f aca="false">G588-$B588</f>
        <v>0.025602</v>
      </c>
    </row>
    <row r="589" customFormat="false" ht="15" hidden="false" customHeight="false" outlineLevel="0" collapsed="false">
      <c r="A589" s="7" t="n">
        <v>43435</v>
      </c>
      <c r="B589" s="1" t="n">
        <v>0.0019</v>
      </c>
      <c r="C589" s="1" t="n">
        <v>-0.0955</v>
      </c>
      <c r="D589" s="1" t="n">
        <v>-0.0231</v>
      </c>
      <c r="E589" s="1" t="n">
        <v>-0.0192</v>
      </c>
      <c r="F589" s="1" t="n">
        <v>-0.090646</v>
      </c>
      <c r="G589" s="1" t="n">
        <v>-0.100313</v>
      </c>
      <c r="I589" s="1" t="n">
        <f aca="false">F589-$B589</f>
        <v>-0.092546</v>
      </c>
      <c r="J589" s="1" t="n">
        <f aca="false">G589-$B589</f>
        <v>-0.102213</v>
      </c>
    </row>
    <row r="590" customFormat="false" ht="15" hidden="false" customHeight="false" outlineLevel="0" collapsed="false">
      <c r="A590" s="7" t="n">
        <v>43466</v>
      </c>
      <c r="B590" s="1" t="n">
        <v>0.0021</v>
      </c>
      <c r="C590" s="1" t="n">
        <v>0.0837</v>
      </c>
      <c r="D590" s="1" t="n">
        <v>0.0276</v>
      </c>
      <c r="E590" s="1" t="n">
        <v>-0.0039</v>
      </c>
      <c r="F590" s="1" t="n">
        <v>0.081409</v>
      </c>
      <c r="G590" s="1" t="n">
        <v>0.101018</v>
      </c>
      <c r="I590" s="1" t="n">
        <f aca="false">F590-$B590</f>
        <v>0.079309</v>
      </c>
      <c r="J590" s="1" t="n">
        <f aca="false">G590-$B590</f>
        <v>0.098918</v>
      </c>
    </row>
    <row r="591" customFormat="false" ht="15" hidden="false" customHeight="false" outlineLevel="0" collapsed="false">
      <c r="A591" s="7" t="n">
        <v>43497</v>
      </c>
      <c r="B591" s="1" t="n">
        <v>0.0018</v>
      </c>
      <c r="C591" s="1" t="n">
        <v>0.0342</v>
      </c>
      <c r="D591" s="1" t="n">
        <v>0.0205</v>
      </c>
      <c r="E591" s="1" t="n">
        <v>-0.0266</v>
      </c>
      <c r="F591" s="1" t="n">
        <v>0.031708</v>
      </c>
      <c r="G591" s="1" t="n">
        <v>0.036691</v>
      </c>
      <c r="I591" s="1" t="n">
        <f aca="false">F591-$B591</f>
        <v>0.029908</v>
      </c>
      <c r="J591" s="1" t="n">
        <f aca="false">G591-$B591</f>
        <v>0.034891</v>
      </c>
    </row>
    <row r="592" customFormat="false" ht="15" hidden="false" customHeight="false" outlineLevel="0" collapsed="false">
      <c r="A592" s="7" t="n">
        <v>43525</v>
      </c>
      <c r="B592" s="1" t="n">
        <v>0.0019</v>
      </c>
      <c r="C592" s="1" t="n">
        <v>0.011</v>
      </c>
      <c r="D592" s="1" t="n">
        <v>-0.0303</v>
      </c>
      <c r="E592" s="1" t="n">
        <v>-0.0414</v>
      </c>
      <c r="F592" s="1" t="n">
        <v>0.019531</v>
      </c>
      <c r="G592" s="1" t="n">
        <v>0.009131</v>
      </c>
      <c r="I592" s="1" t="n">
        <f aca="false">F592-$B592</f>
        <v>0.017631</v>
      </c>
      <c r="J592" s="1" t="n">
        <f aca="false">G592-$B592</f>
        <v>0.007231</v>
      </c>
    </row>
    <row r="593" customFormat="false" ht="15" hidden="false" customHeight="false" outlineLevel="0" collapsed="false">
      <c r="A593" s="7" t="n">
        <v>43556</v>
      </c>
      <c r="B593" s="1" t="n">
        <v>0.0021</v>
      </c>
      <c r="C593" s="1" t="n">
        <v>0.0397</v>
      </c>
      <c r="D593" s="1" t="n">
        <v>-0.0174</v>
      </c>
      <c r="E593" s="1" t="n">
        <v>0.0213</v>
      </c>
      <c r="F593" s="1" t="n">
        <v>0.04063</v>
      </c>
      <c r="G593" s="1" t="n">
        <v>0.036678</v>
      </c>
      <c r="I593" s="1" t="n">
        <f aca="false">F593-$B593</f>
        <v>0.03853</v>
      </c>
      <c r="J593" s="1" t="n">
        <f aca="false">G593-$B593</f>
        <v>0.034578</v>
      </c>
    </row>
    <row r="594" customFormat="false" ht="15" hidden="false" customHeight="false" outlineLevel="0" collapsed="false">
      <c r="A594" s="7" t="n">
        <v>43586</v>
      </c>
      <c r="B594" s="1" t="n">
        <v>0.0021</v>
      </c>
      <c r="C594" s="1" t="n">
        <v>-0.0692</v>
      </c>
      <c r="D594" s="1" t="n">
        <v>-0.0126</v>
      </c>
      <c r="E594" s="1" t="n">
        <v>-0.0245</v>
      </c>
      <c r="F594" s="1" t="n">
        <v>-0.063187</v>
      </c>
      <c r="G594" s="1" t="n">
        <v>-0.068451</v>
      </c>
      <c r="I594" s="1" t="n">
        <f aca="false">F594-$B594</f>
        <v>-0.065287</v>
      </c>
      <c r="J594" s="1" t="n">
        <f aca="false">G594-$B594</f>
        <v>-0.070551</v>
      </c>
    </row>
    <row r="595" customFormat="false" ht="15" hidden="false" customHeight="false" outlineLevel="0" collapsed="false">
      <c r="A595" s="7" t="n">
        <v>43617</v>
      </c>
      <c r="B595" s="1" t="n">
        <v>0.0018</v>
      </c>
      <c r="C595" s="1" t="n">
        <v>0.0692</v>
      </c>
      <c r="D595" s="1" t="n">
        <v>0.0026</v>
      </c>
      <c r="E595" s="1" t="n">
        <v>-0.0064</v>
      </c>
      <c r="F595" s="1" t="n">
        <v>0.069561</v>
      </c>
      <c r="G595" s="1" t="n">
        <v>0.075817</v>
      </c>
      <c r="I595" s="1" t="n">
        <f aca="false">F595-$B595</f>
        <v>0.067761</v>
      </c>
      <c r="J595" s="1" t="n">
        <f aca="false">G595-$B595</f>
        <v>0.074017</v>
      </c>
    </row>
    <row r="596" customFormat="false" ht="15" hidden="false" customHeight="false" outlineLevel="0" collapsed="false">
      <c r="A596" s="7" t="n">
        <v>43647</v>
      </c>
      <c r="B596" s="1" t="n">
        <v>0.0019</v>
      </c>
      <c r="C596" s="1" t="n">
        <v>0.0123</v>
      </c>
      <c r="D596" s="1" t="n">
        <v>-0.0196</v>
      </c>
      <c r="E596" s="1" t="n">
        <v>0.005</v>
      </c>
      <c r="F596" s="1" t="n">
        <v>0.014603</v>
      </c>
      <c r="G596" s="1" t="n">
        <v>0.008839</v>
      </c>
      <c r="I596" s="1" t="n">
        <f aca="false">F596-$B596</f>
        <v>0.012703</v>
      </c>
      <c r="J596" s="1" t="n">
        <f aca="false">G596-$B596</f>
        <v>0.006939</v>
      </c>
    </row>
    <row r="597" customFormat="false" ht="15" hidden="false" customHeight="false" outlineLevel="0" collapsed="false">
      <c r="A597" s="7" t="n">
        <v>43678</v>
      </c>
      <c r="B597" s="1" t="n">
        <v>0.0016</v>
      </c>
      <c r="C597" s="1" t="n">
        <v>-0.0255</v>
      </c>
      <c r="D597" s="1" t="n">
        <v>-0.0239</v>
      </c>
      <c r="E597" s="1" t="n">
        <v>-0.0477</v>
      </c>
      <c r="F597" s="1" t="n">
        <v>-0.016085</v>
      </c>
      <c r="G597" s="1" t="n">
        <v>-0.031248</v>
      </c>
      <c r="I597" s="1" t="n">
        <f aca="false">F597-$B597</f>
        <v>-0.017685</v>
      </c>
      <c r="J597" s="1" t="n">
        <f aca="false">G597-$B597</f>
        <v>-0.032848</v>
      </c>
    </row>
    <row r="598" customFormat="false" ht="15" hidden="false" customHeight="false" outlineLevel="0" collapsed="false">
      <c r="A598" s="7" t="n">
        <v>43709</v>
      </c>
      <c r="B598" s="1" t="n">
        <v>0.0018</v>
      </c>
      <c r="C598" s="1" t="n">
        <v>0.0141</v>
      </c>
      <c r="D598" s="1" t="n">
        <v>-0.0097</v>
      </c>
      <c r="E598" s="1" t="n">
        <v>0.0676</v>
      </c>
      <c r="F598" s="1" t="n">
        <v>0.018791</v>
      </c>
      <c r="G598" s="1" t="n">
        <v>0.033528</v>
      </c>
      <c r="I598" s="1" t="n">
        <f aca="false">F598-$B598</f>
        <v>0.016991</v>
      </c>
      <c r="J598" s="1" t="n">
        <f aca="false">G598-$B598</f>
        <v>0.031728</v>
      </c>
    </row>
    <row r="599" customFormat="false" ht="15" hidden="false" customHeight="false" outlineLevel="0" collapsed="false">
      <c r="A599" s="7" t="n">
        <v>43739</v>
      </c>
      <c r="B599" s="1" t="n">
        <v>0.0015</v>
      </c>
      <c r="C599" s="1" t="n">
        <v>0.0207</v>
      </c>
      <c r="D599" s="1" t="n">
        <v>0.0027</v>
      </c>
      <c r="E599" s="1" t="n">
        <v>-0.0192</v>
      </c>
      <c r="F599" s="1" t="n">
        <v>0.021621</v>
      </c>
      <c r="G599" s="1" t="n">
        <v>0.013161</v>
      </c>
      <c r="I599" s="1" t="n">
        <f aca="false">F599-$B599</f>
        <v>0.020121</v>
      </c>
      <c r="J599" s="1" t="n">
        <f aca="false">G599-$B599</f>
        <v>0.011661</v>
      </c>
    </row>
    <row r="600" customFormat="false" ht="15" hidden="false" customHeight="false" outlineLevel="0" collapsed="false">
      <c r="A600" s="7" t="n">
        <v>43770</v>
      </c>
      <c r="B600" s="1" t="n">
        <v>0.0012</v>
      </c>
      <c r="C600" s="1" t="n">
        <v>0.0387</v>
      </c>
      <c r="D600" s="1" t="n">
        <v>0.0072</v>
      </c>
      <c r="E600" s="1" t="n">
        <v>-0.02</v>
      </c>
      <c r="F600" s="1" t="n">
        <v>0.036206</v>
      </c>
      <c r="G600" s="1" t="n">
        <v>0.034518</v>
      </c>
      <c r="I600" s="1" t="n">
        <f aca="false">F600-$B600</f>
        <v>0.035006</v>
      </c>
      <c r="J600" s="1" t="n">
        <f aca="false">G600-$B600</f>
        <v>0.033318</v>
      </c>
    </row>
    <row r="601" customFormat="false" ht="15" hidden="false" customHeight="false" outlineLevel="0" collapsed="false">
      <c r="A601" s="7" t="n">
        <v>43800</v>
      </c>
      <c r="B601" s="1" t="n">
        <v>0.0014</v>
      </c>
      <c r="C601" s="1" t="n">
        <v>0.0277</v>
      </c>
      <c r="D601" s="1" t="n">
        <v>0.0076</v>
      </c>
      <c r="E601" s="1" t="n">
        <v>0.0173</v>
      </c>
      <c r="F601" s="1" t="n">
        <v>0.029787</v>
      </c>
      <c r="G601" s="1" t="n">
        <v>0.028763</v>
      </c>
      <c r="I601" s="1" t="n">
        <f aca="false">F601-$B601</f>
        <v>0.028387</v>
      </c>
      <c r="J601" s="1" t="n">
        <f aca="false">G601-$B601</f>
        <v>0.027363</v>
      </c>
    </row>
    <row r="602" customFormat="false" ht="15" hidden="false" customHeight="false" outlineLevel="0" collapsed="false">
      <c r="A602" s="7" t="n">
        <v>43831</v>
      </c>
      <c r="B602" s="1" t="n">
        <v>0.0013</v>
      </c>
      <c r="C602" s="1" t="n">
        <v>-0.0011</v>
      </c>
      <c r="D602" s="1" t="n">
        <v>-0.031</v>
      </c>
      <c r="E602" s="1" t="n">
        <v>-0.0622</v>
      </c>
      <c r="F602" s="1" t="n">
        <v>0.000108</v>
      </c>
      <c r="G602" s="1" t="n">
        <v>-0.017589</v>
      </c>
      <c r="I602" s="1" t="n">
        <f aca="false">F602-$B602</f>
        <v>-0.001192</v>
      </c>
      <c r="J602" s="1" t="n">
        <f aca="false">G602-$B602</f>
        <v>-0.018889</v>
      </c>
    </row>
    <row r="603" customFormat="false" ht="15" hidden="false" customHeight="false" outlineLevel="0" collapsed="false">
      <c r="A603" s="7" t="n">
        <v>43862</v>
      </c>
      <c r="B603" s="1" t="n">
        <v>0.0012</v>
      </c>
      <c r="C603" s="1" t="n">
        <v>-0.0815</v>
      </c>
      <c r="D603" s="1" t="n">
        <v>0.0108</v>
      </c>
      <c r="E603" s="1" t="n">
        <v>-0.0382</v>
      </c>
      <c r="F603" s="1" t="n">
        <v>-0.081872</v>
      </c>
      <c r="G603" s="1" t="n">
        <v>-0.090756</v>
      </c>
      <c r="I603" s="1" t="n">
        <f aca="false">F603-$B603</f>
        <v>-0.083072</v>
      </c>
      <c r="J603" s="1" t="n">
        <f aca="false">G603-$B603</f>
        <v>-0.091956</v>
      </c>
    </row>
    <row r="604" customFormat="false" ht="15" hidden="false" customHeight="false" outlineLevel="0" collapsed="false">
      <c r="A604" s="7" t="n">
        <v>43891</v>
      </c>
      <c r="B604" s="1" t="n">
        <v>0.0012</v>
      </c>
      <c r="C604" s="1" t="n">
        <v>-0.1337</v>
      </c>
      <c r="D604" s="1" t="n">
        <v>-0.0469</v>
      </c>
      <c r="E604" s="1" t="n">
        <v>-0.1383</v>
      </c>
      <c r="F604" s="1" t="n">
        <v>-0.121997</v>
      </c>
      <c r="G604" s="1" t="n">
        <v>-0.188008</v>
      </c>
      <c r="I604" s="1" t="n">
        <f aca="false">F604-$B604</f>
        <v>-0.123197</v>
      </c>
      <c r="J604" s="1" t="n">
        <f aca="false">G604-$B604</f>
        <v>-0.189208</v>
      </c>
    </row>
    <row r="605" customFormat="false" ht="15" hidden="false" customHeight="false" outlineLevel="0" collapsed="false">
      <c r="A605" s="7" t="n">
        <v>43922</v>
      </c>
      <c r="B605" s="1" t="n">
        <v>0</v>
      </c>
      <c r="C605" s="1" t="n">
        <v>0.136</v>
      </c>
      <c r="D605" s="1" t="n">
        <v>0.025</v>
      </c>
      <c r="E605" s="1" t="n">
        <v>-0.0134</v>
      </c>
      <c r="F605" s="1" t="n">
        <v>0.12889</v>
      </c>
      <c r="G605" s="1" t="n">
        <v>0.146692</v>
      </c>
      <c r="I605" s="1" t="n">
        <f aca="false">F605-$B605</f>
        <v>0.12889</v>
      </c>
      <c r="J605" s="1" t="n">
        <f aca="false">G605-$B605</f>
        <v>0.146692</v>
      </c>
    </row>
    <row r="606" customFormat="false" ht="15" hidden="false" customHeight="false" outlineLevel="0" collapsed="false">
      <c r="A606" s="7" t="n">
        <v>43952</v>
      </c>
      <c r="B606" s="1" t="n">
        <v>0.0001</v>
      </c>
      <c r="C606" s="1" t="n">
        <v>0.0557</v>
      </c>
      <c r="D606" s="1" t="n">
        <v>0.024</v>
      </c>
      <c r="E606" s="1" t="n">
        <v>-0.05</v>
      </c>
      <c r="F606" s="1" t="n">
        <v>0.047818</v>
      </c>
      <c r="G606" s="1" t="n">
        <v>0.048583</v>
      </c>
      <c r="I606" s="1" t="n">
        <f aca="false">F606-$B606</f>
        <v>0.047718</v>
      </c>
      <c r="J606" s="1" t="n">
        <f aca="false">G606-$B606</f>
        <v>0.048483</v>
      </c>
    </row>
    <row r="607" customFormat="false" ht="15" hidden="false" customHeight="false" outlineLevel="0" collapsed="false">
      <c r="A607" s="7" t="n">
        <v>43983</v>
      </c>
      <c r="B607" s="1" t="n">
        <v>0.0001</v>
      </c>
      <c r="C607" s="1" t="n">
        <v>0.0245</v>
      </c>
      <c r="D607" s="1" t="n">
        <v>0.0267</v>
      </c>
      <c r="E607" s="1" t="n">
        <v>-0.0217</v>
      </c>
      <c r="F607" s="1" t="n">
        <v>0.020348</v>
      </c>
      <c r="G607" s="1" t="n">
        <v>0.01352</v>
      </c>
      <c r="I607" s="1" t="n">
        <f aca="false">F607-$B607</f>
        <v>0.020248</v>
      </c>
      <c r="J607" s="1" t="n">
        <f aca="false">G607-$B607</f>
        <v>0.01342</v>
      </c>
    </row>
    <row r="608" customFormat="false" ht="15" hidden="false" customHeight="false" outlineLevel="0" collapsed="false">
      <c r="A608" s="7" t="n">
        <v>44013</v>
      </c>
      <c r="B608" s="1" t="n">
        <v>0.0001</v>
      </c>
      <c r="C608" s="1" t="n">
        <v>0.0583</v>
      </c>
      <c r="D608" s="1" t="n">
        <v>-0.0235</v>
      </c>
      <c r="E608" s="1" t="n">
        <v>-0.0144</v>
      </c>
      <c r="F608" s="1" t="n">
        <v>0.05691</v>
      </c>
      <c r="G608" s="1" t="n">
        <v>0.046928</v>
      </c>
      <c r="I608" s="1" t="n">
        <f aca="false">F608-$B608</f>
        <v>0.05681</v>
      </c>
      <c r="J608" s="1" t="n">
        <f aca="false">G608-$B608</f>
        <v>0.046828</v>
      </c>
    </row>
    <row r="609" customFormat="false" ht="15" hidden="false" customHeight="false" outlineLevel="0" collapsed="false">
      <c r="A609" s="7" t="n">
        <v>44044</v>
      </c>
      <c r="B609" s="1" t="n">
        <v>0.0001</v>
      </c>
      <c r="C609" s="1" t="n">
        <v>0.0762</v>
      </c>
      <c r="D609" s="1" t="n">
        <v>-0.002</v>
      </c>
      <c r="E609" s="1" t="n">
        <v>-0.0302</v>
      </c>
      <c r="F609" s="1" t="n">
        <v>0.072068</v>
      </c>
      <c r="G609" s="1" t="n">
        <v>0.045357</v>
      </c>
      <c r="I609" s="1" t="n">
        <f aca="false">F609-$B609</f>
        <v>0.071968</v>
      </c>
      <c r="J609" s="1" t="n">
        <f aca="false">G609-$B609</f>
        <v>0.045257</v>
      </c>
    </row>
    <row r="610" customFormat="false" ht="15" hidden="false" customHeight="false" outlineLevel="0" collapsed="false">
      <c r="A610" s="7" t="n">
        <v>44075</v>
      </c>
      <c r="B610" s="1" t="n">
        <v>0.0001</v>
      </c>
      <c r="C610" s="1" t="n">
        <v>-0.0364</v>
      </c>
      <c r="D610" s="1" t="n">
        <v>0.0006</v>
      </c>
      <c r="E610" s="1" t="n">
        <v>-0.0272</v>
      </c>
      <c r="F610" s="1" t="n">
        <v>-0.038151</v>
      </c>
      <c r="G610" s="1" t="n">
        <v>-0.025198</v>
      </c>
      <c r="I610" s="1" t="n">
        <f aca="false">F610-$B610</f>
        <v>-0.038251</v>
      </c>
      <c r="J610" s="1" t="n">
        <f aca="false">G610-$B610</f>
        <v>-0.025298</v>
      </c>
    </row>
    <row r="611" customFormat="false" ht="15" hidden="false" customHeight="false" outlineLevel="0" collapsed="false">
      <c r="A611" s="7" t="n">
        <v>44105</v>
      </c>
      <c r="B611" s="1" t="n">
        <v>0.0001</v>
      </c>
      <c r="C611" s="1" t="n">
        <v>-0.0208</v>
      </c>
      <c r="D611" s="1" t="n">
        <v>0.0434</v>
      </c>
      <c r="E611" s="1" t="n">
        <v>0.0425</v>
      </c>
      <c r="F611" s="1" t="n">
        <v>-0.026409</v>
      </c>
      <c r="G611" s="1" t="n">
        <v>-0.006164</v>
      </c>
      <c r="I611" s="1" t="n">
        <f aca="false">F611-$B611</f>
        <v>-0.026509</v>
      </c>
      <c r="J611" s="1" t="n">
        <f aca="false">G611-$B611</f>
        <v>-0.006264</v>
      </c>
    </row>
    <row r="612" customFormat="false" ht="15" hidden="false" customHeight="false" outlineLevel="0" collapsed="false">
      <c r="A612" s="7" t="n">
        <v>44136</v>
      </c>
      <c r="B612" s="1" t="n">
        <v>0.0001</v>
      </c>
      <c r="C612" s="1" t="n">
        <v>0.1245</v>
      </c>
      <c r="D612" s="1" t="n">
        <v>0.0581</v>
      </c>
      <c r="E612" s="1" t="n">
        <v>0.0209</v>
      </c>
      <c r="F612" s="1" t="n">
        <v>0.109404</v>
      </c>
      <c r="G612" s="1" t="n">
        <v>0.146694</v>
      </c>
      <c r="I612" s="1" t="n">
        <f aca="false">F612-$B612</f>
        <v>0.109304</v>
      </c>
      <c r="J612" s="1" t="n">
        <f aca="false">G612-$B612</f>
        <v>0.146594</v>
      </c>
    </row>
    <row r="613" customFormat="false" ht="15" hidden="false" customHeight="false" outlineLevel="0" collapsed="false">
      <c r="A613" s="7" t="n">
        <v>44166</v>
      </c>
      <c r="B613" s="1" t="n">
        <v>0.0001</v>
      </c>
      <c r="C613" s="1" t="n">
        <v>0.0463</v>
      </c>
      <c r="D613" s="1" t="n">
        <v>0.0501</v>
      </c>
      <c r="E613" s="1" t="n">
        <v>-0.0168</v>
      </c>
      <c r="F613" s="1" t="n">
        <v>0.041572</v>
      </c>
      <c r="G613" s="1" t="n">
        <v>0.041983</v>
      </c>
      <c r="I613" s="1" t="n">
        <f aca="false">F613-$B613</f>
        <v>0.041472</v>
      </c>
      <c r="J613" s="1" t="n">
        <f aca="false">G613-$B613</f>
        <v>0.041883</v>
      </c>
    </row>
    <row r="614" customFormat="false" ht="15" hidden="false" customHeight="false" outlineLevel="0" collapsed="false">
      <c r="A614" s="7" t="n">
        <v>44197</v>
      </c>
      <c r="B614" s="1" t="n">
        <v>0</v>
      </c>
      <c r="C614" s="1" t="n">
        <v>-0.0007</v>
      </c>
      <c r="D614" s="1" t="n">
        <v>0.0714</v>
      </c>
      <c r="E614" s="1" t="n">
        <v>0.0322</v>
      </c>
      <c r="F614" s="1" t="n">
        <v>-0.010052</v>
      </c>
      <c r="G614" s="1" t="n">
        <v>-0.006385</v>
      </c>
      <c r="I614" s="1" t="n">
        <f aca="false">F614-$B614</f>
        <v>-0.010052</v>
      </c>
      <c r="J614" s="1" t="n">
        <f aca="false">G614-$B614</f>
        <v>-0.006385</v>
      </c>
    </row>
    <row r="615" customFormat="false" ht="15" hidden="false" customHeight="false" outlineLevel="0" collapsed="false">
      <c r="A615" s="7" t="n">
        <v>44228</v>
      </c>
      <c r="B615" s="1" t="n">
        <v>0</v>
      </c>
      <c r="C615" s="1" t="n">
        <v>0.0281</v>
      </c>
      <c r="D615" s="1" t="n">
        <v>0.0202</v>
      </c>
      <c r="E615" s="1" t="n">
        <v>0.072</v>
      </c>
      <c r="F615" s="1" t="n">
        <v>0.026104</v>
      </c>
      <c r="G615" s="1" t="n">
        <v>0.063438</v>
      </c>
      <c r="I615" s="1" t="n">
        <f aca="false">F615-$B615</f>
        <v>0.026104</v>
      </c>
      <c r="J615" s="1" t="n">
        <f aca="false">G615-$B615</f>
        <v>0.063438</v>
      </c>
    </row>
    <row r="616" customFormat="false" ht="15" hidden="false" customHeight="false" outlineLevel="0" collapsed="false">
      <c r="A616" s="7" t="n">
        <v>44256</v>
      </c>
      <c r="B616" s="1" t="n">
        <v>0</v>
      </c>
      <c r="C616" s="1" t="n">
        <v>0.0316</v>
      </c>
      <c r="D616" s="1" t="n">
        <v>-0.0233</v>
      </c>
      <c r="E616" s="1" t="n">
        <v>0.0735</v>
      </c>
      <c r="F616" s="1" t="n">
        <v>0.043314</v>
      </c>
      <c r="G616" s="1" t="n">
        <v>0.057146</v>
      </c>
      <c r="I616" s="1" t="n">
        <f aca="false">F616-$B616</f>
        <v>0.043314</v>
      </c>
      <c r="J616" s="1" t="n">
        <f aca="false">G616-$B616</f>
        <v>0.057146</v>
      </c>
    </row>
    <row r="617" customFormat="false" ht="15" hidden="false" customHeight="false" outlineLevel="0" collapsed="false">
      <c r="A617" s="7" t="n">
        <v>44287</v>
      </c>
      <c r="B617" s="1" t="n">
        <v>0</v>
      </c>
      <c r="C617" s="1" t="n">
        <v>0.0495</v>
      </c>
      <c r="D617" s="1" t="n">
        <v>-0.0319</v>
      </c>
      <c r="E617" s="1" t="n">
        <v>-0.0102</v>
      </c>
      <c r="F617" s="1" t="n">
        <v>0.053904</v>
      </c>
      <c r="G617" s="1" t="n">
        <v>0.0471</v>
      </c>
      <c r="I617" s="1" t="n">
        <f aca="false">F617-$B617</f>
        <v>0.053904</v>
      </c>
      <c r="J617" s="1" t="n">
        <f aca="false">G617-$B617</f>
        <v>0.0471</v>
      </c>
    </row>
    <row r="618" customFormat="false" ht="15" hidden="false" customHeight="false" outlineLevel="0" collapsed="false">
      <c r="A618" s="7" t="n">
        <v>44317</v>
      </c>
      <c r="B618" s="1" t="n">
        <v>0</v>
      </c>
      <c r="C618" s="1" t="n">
        <v>0.003</v>
      </c>
      <c r="D618" s="1" t="n">
        <v>-0.002</v>
      </c>
      <c r="E618" s="1" t="n">
        <v>0.0704</v>
      </c>
      <c r="F618" s="1" t="n">
        <v>0.006208</v>
      </c>
      <c r="G618" s="1" t="n">
        <v>0.019381</v>
      </c>
      <c r="I618" s="1" t="n">
        <f aca="false">F618-$B618</f>
        <v>0.006208</v>
      </c>
      <c r="J618" s="1" t="n">
        <f aca="false">G618-$B618</f>
        <v>0.019381</v>
      </c>
    </row>
    <row r="619" customFormat="false" ht="15" hidden="false" customHeight="false" outlineLevel="0" collapsed="false">
      <c r="A619" s="7" t="n">
        <v>44348</v>
      </c>
      <c r="B619" s="1" t="n">
        <v>0</v>
      </c>
      <c r="C619" s="1" t="n">
        <v>0.0274</v>
      </c>
      <c r="D619" s="1" t="n">
        <v>0.017</v>
      </c>
      <c r="E619" s="1" t="n">
        <v>-0.0786</v>
      </c>
      <c r="F619" s="1" t="n">
        <v>0.023682</v>
      </c>
      <c r="G619" s="1" t="n">
        <v>0.001193</v>
      </c>
      <c r="I619" s="1" t="n">
        <f aca="false">F619-$B619</f>
        <v>0.023682</v>
      </c>
      <c r="J619" s="1" t="n">
        <f aca="false">G619-$B619</f>
        <v>0.001193</v>
      </c>
    </row>
    <row r="620" customFormat="false" ht="15" hidden="false" customHeight="false" outlineLevel="0" collapsed="false">
      <c r="A620" s="7" t="n">
        <v>44378</v>
      </c>
      <c r="B620" s="1" t="n">
        <v>0</v>
      </c>
      <c r="C620" s="1" t="n">
        <v>0.0134</v>
      </c>
      <c r="D620" s="1" t="n">
        <v>-0.0393</v>
      </c>
      <c r="E620" s="1" t="n">
        <v>-0.0179</v>
      </c>
      <c r="F620" s="1" t="n">
        <v>0.024305</v>
      </c>
      <c r="G620" s="1" t="n">
        <v>0.012336</v>
      </c>
      <c r="I620" s="1" t="n">
        <f aca="false">F620-$B620</f>
        <v>0.024305</v>
      </c>
      <c r="J620" s="1" t="n">
        <f aca="false">G620-$B620</f>
        <v>0.012336</v>
      </c>
    </row>
    <row r="621" customFormat="false" ht="15" hidden="false" customHeight="false" outlineLevel="0" collapsed="false">
      <c r="A621" s="7" t="n">
        <v>44409</v>
      </c>
      <c r="B621" s="1" t="n">
        <v>0</v>
      </c>
      <c r="C621" s="1" t="n">
        <v>0.0294</v>
      </c>
      <c r="D621" s="1" t="n">
        <v>-0.0032</v>
      </c>
      <c r="E621" s="1" t="n">
        <v>-0.0023</v>
      </c>
      <c r="F621" s="1" t="n">
        <v>0.0306</v>
      </c>
      <c r="G621" s="1" t="n">
        <v>0.023357</v>
      </c>
      <c r="I621" s="1" t="n">
        <f aca="false">F621-$B621</f>
        <v>0.0306</v>
      </c>
      <c r="J621" s="1" t="n">
        <f aca="false">G621-$B621</f>
        <v>0.023357</v>
      </c>
    </row>
    <row r="622" customFormat="false" ht="15" hidden="false" customHeight="false" outlineLevel="0" collapsed="false">
      <c r="A622" s="7" t="n">
        <v>44440</v>
      </c>
      <c r="B622" s="1" t="n">
        <v>0</v>
      </c>
      <c r="C622" s="1" t="n">
        <v>-0.044</v>
      </c>
      <c r="D622" s="1" t="n">
        <v>0.0066</v>
      </c>
      <c r="E622" s="1" t="n">
        <v>0.0512</v>
      </c>
      <c r="F622" s="1" t="n">
        <v>-0.046077</v>
      </c>
      <c r="G622" s="1" t="n">
        <v>-0.037591</v>
      </c>
      <c r="I622" s="1" t="n">
        <f aca="false">F622-$B622</f>
        <v>-0.046077</v>
      </c>
      <c r="J622" s="1" t="n">
        <f aca="false">G622-$B622</f>
        <v>-0.037591</v>
      </c>
    </row>
    <row r="623" customFormat="false" ht="15" hidden="false" customHeight="false" outlineLevel="0" collapsed="false">
      <c r="A623" s="7" t="n">
        <v>44470</v>
      </c>
      <c r="B623" s="1" t="n">
        <v>0</v>
      </c>
      <c r="C623" s="1" t="n">
        <v>0.0663</v>
      </c>
      <c r="D623" s="1" t="n">
        <v>-0.0227</v>
      </c>
      <c r="E623" s="1" t="n">
        <v>-0.0053</v>
      </c>
      <c r="F623" s="1" t="n">
        <v>0.07051</v>
      </c>
      <c r="G623" s="1" t="n">
        <v>0.052817</v>
      </c>
      <c r="I623" s="1" t="n">
        <f aca="false">F623-$B623</f>
        <v>0.07051</v>
      </c>
      <c r="J623" s="1" t="n">
        <f aca="false">G623-$B623</f>
        <v>0.052817</v>
      </c>
    </row>
    <row r="624" customFormat="false" ht="15" hidden="false" customHeight="false" outlineLevel="0" collapsed="false">
      <c r="A624" s="7" t="n">
        <v>44501</v>
      </c>
      <c r="B624" s="1" t="n">
        <v>0</v>
      </c>
      <c r="C624" s="1" t="n">
        <v>-0.0158</v>
      </c>
      <c r="D624" s="1" t="n">
        <v>-0.0131</v>
      </c>
      <c r="E624" s="1" t="n">
        <v>-0.0037</v>
      </c>
      <c r="F624" s="1" t="n">
        <v>-0.007256</v>
      </c>
      <c r="G624" s="1" t="n">
        <v>-0.025723</v>
      </c>
      <c r="I624" s="1" t="n">
        <f aca="false">F624-$B624</f>
        <v>-0.007256</v>
      </c>
      <c r="J624" s="1" t="n">
        <f aca="false">G624-$B624</f>
        <v>-0.025723</v>
      </c>
    </row>
    <row r="625" customFormat="false" ht="15" hidden="false" customHeight="false" outlineLevel="0" collapsed="false">
      <c r="A625" s="7" t="n">
        <v>44531</v>
      </c>
      <c r="B625" s="1" t="n">
        <v>0.0001</v>
      </c>
      <c r="C625" s="1" t="n">
        <v>0.0323</v>
      </c>
      <c r="D625" s="1" t="n">
        <v>-0.0163</v>
      </c>
      <c r="E625" s="1" t="n">
        <v>0.0326</v>
      </c>
      <c r="F625" s="1" t="n">
        <v>0.043485</v>
      </c>
      <c r="G625" s="1" t="n">
        <v>0.063631</v>
      </c>
      <c r="I625" s="1" t="n">
        <f aca="false">F625-$B625</f>
        <v>0.043385</v>
      </c>
      <c r="J625" s="1" t="n">
        <f aca="false">G625-$B625</f>
        <v>0.063531</v>
      </c>
    </row>
    <row r="626" customFormat="false" ht="15" hidden="false" customHeight="false" outlineLevel="0" collapsed="false">
      <c r="A626" s="7" t="n">
        <v>44562</v>
      </c>
      <c r="B626" s="1" t="n">
        <v>0</v>
      </c>
      <c r="C626" s="1" t="n">
        <v>-0.0616</v>
      </c>
      <c r="D626" s="1" t="n">
        <v>-0.0593</v>
      </c>
      <c r="E626" s="1" t="n">
        <v>0.1286</v>
      </c>
      <c r="F626" s="1" t="n">
        <v>-0.052243</v>
      </c>
      <c r="G626" s="1" t="n">
        <v>-0.04268</v>
      </c>
      <c r="I626" s="1" t="n">
        <f aca="false">F626-$B626</f>
        <v>-0.052243</v>
      </c>
      <c r="J626" s="1" t="n">
        <f aca="false">G626-$B626</f>
        <v>-0.04268</v>
      </c>
    </row>
    <row r="627" customFormat="false" ht="15" hidden="false" customHeight="false" outlineLevel="0" collapsed="false">
      <c r="A627" s="7" t="n">
        <v>44593</v>
      </c>
      <c r="B627" s="1" t="n">
        <v>0</v>
      </c>
      <c r="C627" s="1" t="n">
        <v>-0.0228</v>
      </c>
      <c r="D627" s="1" t="n">
        <v>0.0216</v>
      </c>
      <c r="E627" s="1" t="n">
        <v>0.0306</v>
      </c>
      <c r="F627" s="1" t="n">
        <v>-0.029293</v>
      </c>
      <c r="G627" s="1" t="n">
        <v>-0.010156</v>
      </c>
      <c r="I627" s="1" t="n">
        <f aca="false">F627-$B627</f>
        <v>-0.029293</v>
      </c>
      <c r="J627" s="1" t="n">
        <f aca="false">G627-$B627</f>
        <v>-0.010156</v>
      </c>
    </row>
    <row r="628" customFormat="false" ht="15" hidden="false" customHeight="false" outlineLevel="0" collapsed="false">
      <c r="A628" s="7" t="n">
        <v>44621</v>
      </c>
      <c r="B628" s="1" t="n">
        <v>0</v>
      </c>
      <c r="C628" s="1" t="n">
        <v>0.0308</v>
      </c>
      <c r="D628" s="1" t="n">
        <v>-0.0155</v>
      </c>
      <c r="E628" s="1" t="n">
        <v>-0.019</v>
      </c>
      <c r="F628" s="1" t="n">
        <v>0.037925</v>
      </c>
      <c r="G628" s="1" t="n">
        <v>0.027143</v>
      </c>
      <c r="I628" s="1" t="n">
        <f aca="false">F628-$B628</f>
        <v>0.037925</v>
      </c>
      <c r="J628" s="1" t="n">
        <f aca="false">G628-$B628</f>
        <v>0.027143</v>
      </c>
    </row>
    <row r="629" customFormat="false" ht="15" hidden="false" customHeight="false" outlineLevel="0" collapsed="false">
      <c r="A629" s="7" t="n">
        <v>44652</v>
      </c>
      <c r="B629" s="1" t="n">
        <v>0</v>
      </c>
      <c r="C629" s="1" t="n">
        <v>-0.0941</v>
      </c>
      <c r="D629" s="1" t="n">
        <v>-0.0135</v>
      </c>
      <c r="E629" s="1" t="n">
        <v>0.0618</v>
      </c>
      <c r="F629" s="1" t="n">
        <v>-0.087577</v>
      </c>
      <c r="G629" s="1" t="n">
        <v>-0.063197</v>
      </c>
      <c r="I629" s="1" t="n">
        <f aca="false">F629-$B629</f>
        <v>-0.087577</v>
      </c>
      <c r="J629" s="1" t="n">
        <f aca="false">G629-$B629</f>
        <v>-0.063197</v>
      </c>
    </row>
    <row r="630" customFormat="false" ht="15" hidden="false" customHeight="false" outlineLevel="0" collapsed="false">
      <c r="A630" s="7" t="n">
        <v>44682</v>
      </c>
      <c r="B630" s="1" t="n">
        <v>0.0003</v>
      </c>
      <c r="C630" s="1" t="n">
        <v>-0.0034</v>
      </c>
      <c r="D630" s="1" t="n">
        <v>-0.0184</v>
      </c>
      <c r="E630" s="1" t="n">
        <v>0.0844</v>
      </c>
      <c r="F630" s="1" t="n">
        <v>0.000374</v>
      </c>
      <c r="G630" s="1" t="n">
        <v>0.009982</v>
      </c>
      <c r="I630" s="1" t="n">
        <f aca="false">F630-$B630</f>
        <v>7.4E-005</v>
      </c>
      <c r="J630" s="1" t="n">
        <f aca="false">G630-$B630</f>
        <v>0.009682</v>
      </c>
    </row>
    <row r="631" customFormat="false" ht="15" hidden="false" customHeight="false" outlineLevel="0" collapsed="false">
      <c r="A631" s="7" t="n">
        <v>44713</v>
      </c>
      <c r="B631" s="1" t="n">
        <v>0.0006</v>
      </c>
      <c r="C631" s="1" t="n">
        <v>-0.084</v>
      </c>
      <c r="D631" s="1" t="n">
        <v>0.0207</v>
      </c>
      <c r="E631" s="1" t="n">
        <v>-0.06</v>
      </c>
      <c r="F631" s="1" t="n">
        <v>-0.081683</v>
      </c>
      <c r="G631" s="1" t="n">
        <v>-0.092875</v>
      </c>
      <c r="I631" s="1" t="n">
        <f aca="false">F631-$B631</f>
        <v>-0.082283</v>
      </c>
      <c r="J631" s="1" t="n">
        <f aca="false">G631-$B631</f>
        <v>-0.093475</v>
      </c>
    </row>
    <row r="632" customFormat="false" ht="15" hidden="false" customHeight="false" outlineLevel="0" collapsed="false">
      <c r="A632" s="7" t="n">
        <v>44743</v>
      </c>
      <c r="B632" s="1" t="n">
        <v>0.0008</v>
      </c>
      <c r="C632" s="1" t="n">
        <v>0.0957</v>
      </c>
      <c r="D632" s="1" t="n">
        <v>0.0284</v>
      </c>
      <c r="E632" s="1" t="n">
        <v>-0.0415</v>
      </c>
      <c r="F632" s="1" t="n">
        <v>0.093766</v>
      </c>
      <c r="G632" s="1" t="n">
        <v>0.087937</v>
      </c>
      <c r="I632" s="1" t="n">
        <f aca="false">F632-$B632</f>
        <v>0.092966</v>
      </c>
      <c r="J632" s="1" t="n">
        <f aca="false">G632-$B632</f>
        <v>0.087137</v>
      </c>
    </row>
    <row r="633" customFormat="false" ht="15" hidden="false" customHeight="false" outlineLevel="0" collapsed="false">
      <c r="A633" s="7" t="n">
        <v>44774</v>
      </c>
      <c r="B633" s="1" t="n">
        <v>0.0019</v>
      </c>
      <c r="C633" s="1" t="n">
        <v>-0.0377</v>
      </c>
      <c r="D633" s="1" t="n">
        <v>0.0141</v>
      </c>
      <c r="E633" s="1" t="n">
        <v>0.0018</v>
      </c>
      <c r="F633" s="1" t="n">
        <v>-0.040295</v>
      </c>
      <c r="G633" s="1" t="n">
        <v>-0.033776</v>
      </c>
      <c r="I633" s="1" t="n">
        <f aca="false">F633-$B633</f>
        <v>-0.042195</v>
      </c>
      <c r="J633" s="1" t="n">
        <f aca="false">G633-$B633</f>
        <v>-0.035676</v>
      </c>
    </row>
    <row r="634" customFormat="false" ht="15" hidden="false" customHeight="false" outlineLevel="0" collapsed="false">
      <c r="A634" s="7" t="n">
        <v>44805</v>
      </c>
      <c r="B634" s="1" t="n">
        <v>0.0019</v>
      </c>
      <c r="C634" s="1" t="n">
        <v>-0.0934</v>
      </c>
      <c r="D634" s="1" t="n">
        <v>-0.0076</v>
      </c>
      <c r="E634" s="1" t="n">
        <v>0.0003</v>
      </c>
      <c r="F634" s="1" t="n">
        <v>-0.091495</v>
      </c>
      <c r="G634" s="1" t="n">
        <v>-0.092953</v>
      </c>
      <c r="I634" s="1" t="n">
        <f aca="false">F634-$B634</f>
        <v>-0.093395</v>
      </c>
      <c r="J634" s="1" t="n">
        <f aca="false">G634-$B634</f>
        <v>-0.094853</v>
      </c>
    </row>
    <row r="635" customFormat="false" ht="15" hidden="false" customHeight="false" outlineLevel="0" collapsed="false">
      <c r="A635" s="7" t="n">
        <v>44835</v>
      </c>
      <c r="B635" s="1" t="n">
        <v>0.0023</v>
      </c>
      <c r="C635" s="1" t="n">
        <v>0.0785</v>
      </c>
      <c r="D635" s="1" t="n">
        <v>0.0001</v>
      </c>
      <c r="E635" s="1" t="n">
        <v>0.0797</v>
      </c>
      <c r="F635" s="1" t="n">
        <v>0.080249</v>
      </c>
      <c r="G635" s="1" t="n">
        <v>0.096627</v>
      </c>
      <c r="I635" s="1" t="n">
        <f aca="false">F635-$B635</f>
        <v>0.077949</v>
      </c>
      <c r="J635" s="1" t="n">
        <f aca="false">G635-$B635</f>
        <v>0.094327</v>
      </c>
    </row>
    <row r="636" customFormat="false" ht="15" hidden="false" customHeight="false" outlineLevel="0" collapsed="false">
      <c r="A636" s="7" t="n">
        <v>44866</v>
      </c>
      <c r="B636" s="1" t="n">
        <v>0.0029</v>
      </c>
      <c r="C636" s="1" t="n">
        <v>0.0465</v>
      </c>
      <c r="D636" s="1" t="n">
        <v>-0.0357</v>
      </c>
      <c r="E636" s="1" t="n">
        <v>0.0148</v>
      </c>
      <c r="F636" s="1" t="n">
        <v>0.054165</v>
      </c>
      <c r="G636" s="1" t="n">
        <v>0.06901</v>
      </c>
      <c r="I636" s="1" t="n">
        <f aca="false">F636-$B636</f>
        <v>0.051265</v>
      </c>
      <c r="J636" s="1" t="n">
        <f aca="false">G636-$B636</f>
        <v>0.06611</v>
      </c>
    </row>
    <row r="637" customFormat="false" ht="15" hidden="false" customHeight="false" outlineLevel="0" collapsed="false">
      <c r="A637" s="7" t="n">
        <v>44896</v>
      </c>
      <c r="B637" s="1" t="n">
        <v>0.0033</v>
      </c>
      <c r="C637" s="1" t="n">
        <v>-0.0638</v>
      </c>
      <c r="D637" s="1" t="n">
        <v>-0.0076</v>
      </c>
      <c r="E637" s="1" t="n">
        <v>0.0134</v>
      </c>
      <c r="F637" s="1" t="n">
        <v>-0.058784</v>
      </c>
      <c r="G637" s="1" t="n">
        <v>-0.048775</v>
      </c>
      <c r="I637" s="1" t="n">
        <f aca="false">F637-$B637</f>
        <v>-0.062084</v>
      </c>
      <c r="J637" s="1" t="n">
        <f aca="false">G637-$B637</f>
        <v>-0.052075</v>
      </c>
    </row>
    <row r="638" customFormat="false" ht="15" hidden="false" customHeight="false" outlineLevel="0" collapsed="false">
      <c r="A638" s="7" t="n">
        <v>44927</v>
      </c>
      <c r="B638" s="1" t="n">
        <v>0.0035</v>
      </c>
      <c r="C638" s="1" t="n">
        <v>0.0661</v>
      </c>
      <c r="D638" s="1" t="n">
        <v>0.0501</v>
      </c>
      <c r="E638" s="1" t="n">
        <v>-0.0394</v>
      </c>
      <c r="F638" s="1" t="n">
        <v>0.06381</v>
      </c>
      <c r="G638" s="1" t="n">
        <v>0.075629</v>
      </c>
      <c r="I638" s="1" t="n">
        <f aca="false">F638-$B638</f>
        <v>0.06031</v>
      </c>
      <c r="J638" s="1" t="n">
        <f aca="false">G638-$B638</f>
        <v>0.072129</v>
      </c>
    </row>
    <row r="639" customFormat="false" ht="15" hidden="false" customHeight="false" outlineLevel="0" collapsed="false">
      <c r="A639" s="7" t="n">
        <v>44958</v>
      </c>
      <c r="B639" s="1" t="n">
        <v>0.0034</v>
      </c>
      <c r="C639" s="1" t="n">
        <v>-0.0257</v>
      </c>
      <c r="D639" s="1" t="n">
        <v>0.0105</v>
      </c>
      <c r="E639" s="1" t="n">
        <v>-0.008</v>
      </c>
      <c r="F639" s="1" t="n">
        <v>-0.024265</v>
      </c>
      <c r="G639" s="1" t="n">
        <v>-0.033449</v>
      </c>
      <c r="I639" s="1" t="n">
        <f aca="false">F639-$B639</f>
        <v>-0.027665</v>
      </c>
      <c r="J639" s="1" t="n">
        <f aca="false">G639-$B639</f>
        <v>-0.036849</v>
      </c>
    </row>
    <row r="640" customFormat="false" ht="15" hidden="false" customHeight="false" outlineLevel="0" collapsed="false">
      <c r="A640" s="7" t="n">
        <v>44986</v>
      </c>
      <c r="B640" s="1" t="n">
        <v>0.0036</v>
      </c>
      <c r="C640" s="1" t="n">
        <v>0.0248</v>
      </c>
      <c r="D640" s="1" t="n">
        <v>-0.0548</v>
      </c>
      <c r="E640" s="1" t="n">
        <v>-0.0905</v>
      </c>
      <c r="F640" s="1" t="n">
        <v>0.037479</v>
      </c>
      <c r="G640" s="1" t="n">
        <v>-0.002739</v>
      </c>
      <c r="I640" s="1" t="n">
        <f aca="false">F640-$B640</f>
        <v>0.033879</v>
      </c>
      <c r="J640" s="1" t="n">
        <f aca="false">G640-$B640</f>
        <v>-0.006339</v>
      </c>
    </row>
    <row r="641" customFormat="false" ht="15" hidden="false" customHeight="false" outlineLevel="0" collapsed="false">
      <c r="A641" s="7" t="n">
        <v>45017</v>
      </c>
      <c r="B641" s="1" t="n">
        <v>0.0035</v>
      </c>
      <c r="C641" s="1" t="n">
        <v>0.0062</v>
      </c>
      <c r="D641" s="1" t="n">
        <v>-0.0337</v>
      </c>
      <c r="E641" s="1" t="n">
        <v>-0.0012</v>
      </c>
      <c r="F641" s="1" t="n">
        <v>0.015015</v>
      </c>
      <c r="G641" s="1" t="n">
        <v>0.002116</v>
      </c>
      <c r="I641" s="1" t="n">
        <f aca="false">F641-$B641</f>
        <v>0.011515</v>
      </c>
      <c r="J641" s="1" t="n">
        <f aca="false">G641-$B641</f>
        <v>-0.001384</v>
      </c>
    </row>
    <row r="642" customFormat="false" ht="15" hidden="false" customHeight="false" outlineLevel="0" collapsed="false">
      <c r="A642" s="7" t="n">
        <v>45047</v>
      </c>
      <c r="B642" s="1" t="n">
        <v>0.0036</v>
      </c>
      <c r="C642" s="1" t="n">
        <v>0.0034</v>
      </c>
      <c r="D642" s="1" t="n">
        <v>0.016</v>
      </c>
      <c r="E642" s="1" t="n">
        <v>-0.0779</v>
      </c>
      <c r="F642" s="1" t="n">
        <v>0.005306</v>
      </c>
      <c r="G642" s="1" t="n">
        <v>-0.037839</v>
      </c>
      <c r="I642" s="1" t="n">
        <f aca="false">F642-$B642</f>
        <v>0.001706</v>
      </c>
      <c r="J642" s="1" t="n">
        <f aca="false">G642-$B642</f>
        <v>-0.041439</v>
      </c>
    </row>
    <row r="643" customFormat="false" ht="15" hidden="false" customHeight="false" outlineLevel="0" collapsed="false">
      <c r="A643" s="7" t="n">
        <v>45078</v>
      </c>
      <c r="B643" s="1" t="n">
        <v>0.004</v>
      </c>
      <c r="C643" s="1" t="n">
        <v>0.0646</v>
      </c>
      <c r="D643" s="1" t="n">
        <v>0.0149</v>
      </c>
      <c r="E643" s="1" t="n">
        <v>-0.0013</v>
      </c>
      <c r="F643" s="1" t="n">
        <v>0.066952</v>
      </c>
      <c r="G643" s="1" t="n">
        <v>0.078668</v>
      </c>
      <c r="I643" s="1" t="n">
        <f aca="false">F643-$B643</f>
        <v>0.062952</v>
      </c>
      <c r="J643" s="1" t="n">
        <f aca="false">G643-$B643</f>
        <v>0.074668</v>
      </c>
    </row>
    <row r="644" customFormat="false" ht="15" hidden="false" customHeight="false" outlineLevel="0" collapsed="false">
      <c r="A644" s="7" t="n">
        <v>45108</v>
      </c>
      <c r="B644" s="1" t="n">
        <v>0.0045</v>
      </c>
      <c r="C644" s="1" t="n">
        <v>0.0321</v>
      </c>
      <c r="D644" s="1" t="n">
        <v>0.0205</v>
      </c>
      <c r="E644" s="1" t="n">
        <v>0.0406</v>
      </c>
      <c r="F644" s="1" t="n">
        <v>0.0317</v>
      </c>
      <c r="G644" s="1" t="n">
        <v>0.035298</v>
      </c>
      <c r="I644" s="1" t="n">
        <f aca="false">F644-$B644</f>
        <v>0.0272</v>
      </c>
      <c r="J644" s="1" t="n">
        <f aca="false">G644-$B644</f>
        <v>0.030798</v>
      </c>
    </row>
    <row r="645" customFormat="false" ht="15" hidden="false" customHeight="false" outlineLevel="0" collapsed="false">
      <c r="A645" s="7" t="n">
        <v>45139</v>
      </c>
      <c r="B645" s="1" t="n">
        <v>0.0045</v>
      </c>
      <c r="C645" s="1" t="n">
        <v>-0.0236</v>
      </c>
      <c r="D645" s="1" t="n">
        <v>-0.0314</v>
      </c>
      <c r="E645" s="1" t="n">
        <v>-0.0115</v>
      </c>
      <c r="F645" s="1" t="n">
        <v>-0.015424</v>
      </c>
      <c r="G645" s="1" t="n">
        <v>-0.030844</v>
      </c>
      <c r="I645" s="1" t="n">
        <f aca="false">F645-$B645</f>
        <v>-0.019924</v>
      </c>
      <c r="J645" s="1" t="n">
        <f aca="false">G645-$B645</f>
        <v>-0.035344</v>
      </c>
    </row>
    <row r="646" customFormat="false" ht="15" hidden="false" customHeight="false" outlineLevel="0" collapsed="false">
      <c r="A646" s="7" t="n">
        <v>45170</v>
      </c>
      <c r="B646" s="1" t="n">
        <v>0.0043</v>
      </c>
      <c r="C646" s="1" t="n">
        <v>-0.0523</v>
      </c>
      <c r="D646" s="1" t="n">
        <v>-0.0251</v>
      </c>
      <c r="E646" s="1" t="n">
        <v>0.0149</v>
      </c>
      <c r="F646" s="1" t="n">
        <v>-0.047566</v>
      </c>
      <c r="G646" s="1" t="n">
        <v>-0.050317</v>
      </c>
      <c r="I646" s="1" t="n">
        <f aca="false">F646-$B646</f>
        <v>-0.051866</v>
      </c>
      <c r="J646" s="1" t="n">
        <f aca="false">G646-$B646</f>
        <v>-0.054617</v>
      </c>
    </row>
    <row r="647" customFormat="false" ht="15" hidden="false" customHeight="false" outlineLevel="0" collapsed="false">
      <c r="A647" s="7" t="n">
        <v>45200</v>
      </c>
      <c r="B647" s="1" t="n">
        <v>0.0047</v>
      </c>
      <c r="C647" s="1" t="n">
        <v>-0.0315</v>
      </c>
      <c r="D647" s="1" t="n">
        <v>-0.0386</v>
      </c>
      <c r="E647" s="1" t="n">
        <v>0.002</v>
      </c>
      <c r="F647" s="1" t="n">
        <v>-0.02104</v>
      </c>
      <c r="G647" s="1" t="n">
        <v>-0.040839</v>
      </c>
      <c r="I647" s="1" t="n">
        <f aca="false">F647-$B647</f>
        <v>-0.02574</v>
      </c>
      <c r="J647" s="1" t="n">
        <f aca="false">G647-$B647</f>
        <v>-0.045539</v>
      </c>
    </row>
    <row r="648" customFormat="false" ht="15" hidden="false" customHeight="false" outlineLevel="0" collapsed="false">
      <c r="A648" s="7" t="n">
        <v>45231</v>
      </c>
      <c r="B648" s="1" t="n">
        <v>0.0044</v>
      </c>
      <c r="C648" s="1" t="n">
        <v>0.0888</v>
      </c>
      <c r="D648" s="1" t="n">
        <v>-0.001</v>
      </c>
      <c r="E648" s="1" t="n">
        <v>0.0167</v>
      </c>
      <c r="F648" s="1" t="n">
        <v>0.090804</v>
      </c>
      <c r="G648" s="1" t="n">
        <v>0.092772</v>
      </c>
      <c r="I648" s="1" t="n">
        <f aca="false">F648-$B648</f>
        <v>0.086404</v>
      </c>
      <c r="J648" s="1" t="n">
        <f aca="false">G648-$B648</f>
        <v>0.088372</v>
      </c>
    </row>
    <row r="649" customFormat="false" ht="15" hidden="false" customHeight="false" outlineLevel="0" collapsed="false">
      <c r="A649" s="7" t="n">
        <v>45261</v>
      </c>
      <c r="B649" s="1" t="n">
        <v>0.0043</v>
      </c>
      <c r="C649" s="1" t="n">
        <v>0.0485</v>
      </c>
      <c r="D649" s="1" t="n">
        <v>0.063</v>
      </c>
      <c r="E649" s="1" t="n">
        <v>0.0489</v>
      </c>
      <c r="F649" s="1" t="n">
        <v>0.045506</v>
      </c>
      <c r="G649" s="1" t="n">
        <v>0.070662</v>
      </c>
      <c r="I649" s="1" t="n">
        <f aca="false">F649-$B649</f>
        <v>0.041206</v>
      </c>
      <c r="J649" s="1" t="n">
        <f aca="false">G649-$B649</f>
        <v>0.066362</v>
      </c>
    </row>
    <row r="650" customFormat="false" ht="15" hidden="false" customHeight="false" outlineLevel="0" collapsed="false">
      <c r="A650" s="7" t="n">
        <v>45292</v>
      </c>
      <c r="B650" s="1" t="n">
        <v>0.0047</v>
      </c>
      <c r="C650" s="1" t="n">
        <v>0.0073</v>
      </c>
      <c r="D650" s="1" t="n">
        <v>-0.0507</v>
      </c>
      <c r="E650" s="1" t="n">
        <v>-0.0238</v>
      </c>
      <c r="F650" s="1" t="n">
        <v>0.015831</v>
      </c>
      <c r="G650" s="1" t="n">
        <v>-0.007248</v>
      </c>
      <c r="I650" s="1" t="n">
        <f aca="false">F650-$B650</f>
        <v>0.011131</v>
      </c>
      <c r="J650" s="1" t="n">
        <f aca="false">G650-$B650</f>
        <v>-0.011948</v>
      </c>
    </row>
    <row r="651" customFormat="false" ht="15" hidden="false" customHeight="false" outlineLevel="0" collapsed="false">
      <c r="A651" s="7" t="n">
        <v>45323</v>
      </c>
      <c r="B651" s="1" t="n">
        <v>0.0042</v>
      </c>
      <c r="C651" s="1" t="n">
        <v>0.0507</v>
      </c>
      <c r="D651" s="1" t="n">
        <v>-0.0024</v>
      </c>
      <c r="E651" s="1" t="n">
        <v>-0.0343</v>
      </c>
      <c r="F651" s="1" t="n">
        <v>0.053031</v>
      </c>
      <c r="G651" s="1" t="n">
        <v>0.040482</v>
      </c>
      <c r="I651" s="1" t="n">
        <f aca="false">F651-$B651</f>
        <v>0.048831</v>
      </c>
      <c r="J651" s="1" t="n">
        <f aca="false">G651-$B651</f>
        <v>0.036282</v>
      </c>
    </row>
    <row r="652" customFormat="false" ht="15" hidden="false" customHeight="false" outlineLevel="0" collapsed="false">
      <c r="A652" s="7" t="n">
        <v>45352</v>
      </c>
      <c r="B652" s="1" t="n">
        <v>0.0043</v>
      </c>
      <c r="C652" s="1" t="n">
        <v>0.0284</v>
      </c>
      <c r="D652" s="1" t="n">
        <v>-0.025</v>
      </c>
      <c r="E652" s="1" t="n">
        <v>0.0416</v>
      </c>
      <c r="F652" s="1" t="n">
        <v>0.032211</v>
      </c>
      <c r="G652" s="1" t="n">
        <v>0.045521</v>
      </c>
      <c r="I652" s="1" t="n">
        <f aca="false">F652-$B652</f>
        <v>0.027911</v>
      </c>
      <c r="J652" s="1" t="n">
        <f aca="false">G652-$B652</f>
        <v>0.041221</v>
      </c>
    </row>
    <row r="653" customFormat="false" ht="15" hidden="false" customHeight="false" outlineLevel="0" collapsed="false">
      <c r="A653" s="7" t="n">
        <v>45383</v>
      </c>
      <c r="B653" s="1" t="n">
        <v>0.0047</v>
      </c>
      <c r="C653" s="1" t="n">
        <v>-0.0465</v>
      </c>
      <c r="D653" s="1" t="n">
        <v>-0.0237</v>
      </c>
      <c r="E653" s="1" t="n">
        <v>-0.0045</v>
      </c>
      <c r="F653" s="1" t="n">
        <v>-0.0398</v>
      </c>
      <c r="G653" s="1" t="n">
        <v>-0.048788</v>
      </c>
      <c r="I653" s="1" t="n">
        <f aca="false">F653-$B653</f>
        <v>-0.0445</v>
      </c>
      <c r="J653" s="1" t="n">
        <f aca="false">G653-$B653</f>
        <v>-0.053488</v>
      </c>
    </row>
    <row r="654" customFormat="false" ht="15" hidden="false" customHeight="false" outlineLevel="0" collapsed="false">
      <c r="A654" s="7" t="n">
        <v>45413</v>
      </c>
      <c r="B654" s="1" t="n">
        <v>0.0044</v>
      </c>
      <c r="C654" s="1" t="n">
        <v>0.0433</v>
      </c>
      <c r="D654" s="1" t="n">
        <v>0.0055</v>
      </c>
      <c r="E654" s="1" t="n">
        <v>-0.0131</v>
      </c>
      <c r="F654" s="1" t="n">
        <v>0.049431</v>
      </c>
      <c r="G654" s="1" t="n">
        <v>0.02821</v>
      </c>
      <c r="I654" s="1" t="n">
        <f aca="false">F654-$B654</f>
        <v>0.045031</v>
      </c>
      <c r="J654" s="1" t="n">
        <f aca="false">G654-$B654</f>
        <v>0.02381</v>
      </c>
    </row>
    <row r="655" customFormat="false" ht="15" hidden="false" customHeight="false" outlineLevel="0" collapsed="false">
      <c r="A655" s="7" t="n">
        <v>45444</v>
      </c>
      <c r="B655" s="1" t="n">
        <v>0.0041</v>
      </c>
      <c r="C655" s="1" t="n">
        <v>0.028</v>
      </c>
      <c r="D655" s="1" t="n">
        <v>-0.03</v>
      </c>
      <c r="E655" s="1" t="n">
        <v>-0.0336</v>
      </c>
      <c r="F655" s="1" t="n">
        <v>0.037199</v>
      </c>
      <c r="G655" s="1" t="n">
        <v>-0.002904</v>
      </c>
      <c r="I655" s="1" t="n">
        <f aca="false">F655-$B655</f>
        <v>0.033099</v>
      </c>
      <c r="J655" s="1" t="n">
        <f aca="false">G655-$B655</f>
        <v>-0.007004</v>
      </c>
    </row>
    <row r="656" customFormat="false" ht="15" hidden="false" customHeight="false" outlineLevel="0" collapsed="false">
      <c r="A656" s="7" t="n">
        <v>45474</v>
      </c>
      <c r="B656" s="1" t="n">
        <v>0.0045</v>
      </c>
      <c r="C656" s="1" t="n">
        <v>0.0122</v>
      </c>
      <c r="D656" s="1" t="n">
        <v>0.0681</v>
      </c>
      <c r="E656" s="1" t="n">
        <v>0.0562</v>
      </c>
      <c r="F656" s="1" t="n">
        <v>0.012148</v>
      </c>
      <c r="G656" s="1" t="n">
        <v>0.044804</v>
      </c>
      <c r="I656" s="1" t="n">
        <f aca="false">F656-$B656</f>
        <v>0.007648</v>
      </c>
      <c r="J656" s="1" t="n">
        <f aca="false">G656-$B656</f>
        <v>0.040304</v>
      </c>
    </row>
    <row r="657" customFormat="false" ht="15" hidden="false" customHeight="false" outlineLevel="0" collapsed="false">
      <c r="A657" s="7" t="n">
        <v>45505</v>
      </c>
      <c r="B657" s="1" t="n">
        <v>0.0048</v>
      </c>
      <c r="C657" s="1" t="n">
        <v>0.016</v>
      </c>
      <c r="D657" s="1" t="n">
        <v>-0.0349</v>
      </c>
      <c r="E657" s="1" t="n">
        <v>-0.011</v>
      </c>
      <c r="F657" s="1" t="n">
        <v>0.024283</v>
      </c>
      <c r="G657" s="1" t="n">
        <v>0.024943</v>
      </c>
      <c r="I657" s="1" t="n">
        <f aca="false">F657-$B657</f>
        <v>0.019483</v>
      </c>
      <c r="J657" s="1" t="n">
        <f aca="false">G657-$B657</f>
        <v>0.020143</v>
      </c>
    </row>
    <row r="658" customFormat="false" ht="15" hidden="false" customHeight="false" outlineLevel="0" collapsed="false">
      <c r="A658" s="7" t="n">
        <v>45536</v>
      </c>
      <c r="B658" s="1" t="n">
        <v>0.004</v>
      </c>
      <c r="C658" s="1" t="n">
        <v>0.0172</v>
      </c>
      <c r="D658" s="1" t="n">
        <v>-0.0013</v>
      </c>
      <c r="E658" s="1" t="n">
        <v>-0.0277</v>
      </c>
      <c r="F658" s="1" t="n">
        <v>0.022821</v>
      </c>
      <c r="G658" s="1" t="n">
        <v>0.023343</v>
      </c>
      <c r="I658" s="1" t="n">
        <f aca="false">F658-$B658</f>
        <v>0.018821</v>
      </c>
      <c r="J658" s="1" t="n">
        <f aca="false">G658-$B658</f>
        <v>0.019343</v>
      </c>
    </row>
    <row r="659" customFormat="false" ht="15" hidden="false" customHeight="false" outlineLevel="0" collapsed="false">
      <c r="A659" s="7" t="n">
        <v>45566</v>
      </c>
      <c r="B659" s="1" t="n">
        <v>0.0039</v>
      </c>
      <c r="C659" s="1" t="n">
        <v>-0.01</v>
      </c>
      <c r="D659" s="1" t="n">
        <v>-0.0099</v>
      </c>
      <c r="E659" s="1" t="n">
        <v>0.0086</v>
      </c>
      <c r="F659" s="1" t="n">
        <v>-0.00869</v>
      </c>
      <c r="G659" s="1" t="n">
        <v>-0.01641</v>
      </c>
      <c r="I659" s="1" t="n">
        <f aca="false">F659-$B659</f>
        <v>-0.01259</v>
      </c>
      <c r="J659" s="1" t="n">
        <f aca="false">G659-$B659</f>
        <v>-0.02031</v>
      </c>
    </row>
    <row r="660" customFormat="false" ht="15" hidden="false" customHeight="false" outlineLevel="0" collapsed="false">
      <c r="A660" s="7" t="n">
        <v>45597</v>
      </c>
      <c r="B660" s="1" t="n">
        <v>0.004</v>
      </c>
      <c r="C660" s="1" t="n">
        <v>0.0649</v>
      </c>
      <c r="D660" s="1" t="n">
        <v>0.0446</v>
      </c>
      <c r="E660" s="1" t="n">
        <v>0.0015</v>
      </c>
      <c r="F660" s="1" t="n">
        <v>0.06042</v>
      </c>
      <c r="G660" s="1" t="n">
        <v>0.062051</v>
      </c>
      <c r="I660" s="1" t="n">
        <f aca="false">F660-$B660</f>
        <v>0.05642</v>
      </c>
      <c r="J660" s="1" t="n">
        <f aca="false">G660-$B660</f>
        <v>0.058051</v>
      </c>
    </row>
    <row r="661" customFormat="false" ht="15" hidden="false" customHeight="false" outlineLevel="0" collapsed="false">
      <c r="A661" s="7" t="n">
        <v>45627</v>
      </c>
      <c r="B661" s="1" t="n">
        <v>0.0037</v>
      </c>
      <c r="C661" s="1" t="n">
        <v>-0.0317</v>
      </c>
      <c r="D661" s="1" t="n">
        <v>-0.0271</v>
      </c>
      <c r="E661" s="1" t="n">
        <v>-0.03</v>
      </c>
      <c r="F661" s="1" t="n">
        <v>-0.023445</v>
      </c>
      <c r="G661" s="1" t="n">
        <v>-0.062712</v>
      </c>
      <c r="I661" s="1" t="n">
        <f aca="false">F661-$B661</f>
        <v>-0.027145</v>
      </c>
      <c r="J661" s="1" t="n">
        <f aca="false">G661-$B661</f>
        <v>-0.066412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2" activeCellId="0" sqref="D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2" width="8.68"/>
    <col collapsed="false" customWidth="true" hidden="false" outlineLevel="0" max="2" min="2" style="10" width="21.43"/>
    <col collapsed="false" customWidth="true" hidden="false" outlineLevel="0" max="3" min="3" style="10" width="21.16"/>
  </cols>
  <sheetData>
    <row r="1" customFormat="false" ht="13.8" hidden="false" customHeight="false" outlineLevel="0" collapsed="false">
      <c r="A1" s="3" t="s">
        <v>0</v>
      </c>
      <c r="B1" s="11" t="s">
        <v>5</v>
      </c>
      <c r="C1" s="11" t="s">
        <v>6</v>
      </c>
    </row>
    <row r="2" customFormat="false" ht="13.8" hidden="false" customHeight="false" outlineLevel="0" collapsed="false">
      <c r="A2" s="7" t="n">
        <v>25569</v>
      </c>
      <c r="B2" s="10" t="n">
        <f aca="false">1+Returns!F2</f>
        <v>0.924602</v>
      </c>
      <c r="C2" s="10" t="n">
        <f aca="false">1+Returns!G2</f>
        <v>0.941612</v>
      </c>
    </row>
    <row r="3" customFormat="false" ht="13.8" hidden="false" customHeight="false" outlineLevel="0" collapsed="false">
      <c r="A3" s="7" t="n">
        <v>25600</v>
      </c>
      <c r="B3" s="10" t="n">
        <f aca="false">B2*(1+Returns!F3)</f>
        <v>0.979635235642</v>
      </c>
      <c r="C3" s="10" t="n">
        <f aca="false">C2*(1+Returns!G3)</f>
        <v>1.006199050304</v>
      </c>
    </row>
    <row r="4" customFormat="false" ht="13.8" hidden="false" customHeight="false" outlineLevel="0" collapsed="false">
      <c r="A4" s="7" t="n">
        <v>25628</v>
      </c>
      <c r="B4" s="10" t="n">
        <f aca="false">B3*(1+Returns!F4)</f>
        <v>0.982384092113212</v>
      </c>
      <c r="C4" s="10" t="n">
        <f aca="false">C3*(1+Returns!G4)</f>
        <v>1.00985859624996</v>
      </c>
    </row>
    <row r="5" customFormat="false" ht="13.8" hidden="false" customHeight="false" outlineLevel="0" collapsed="false">
      <c r="A5" s="7" t="n">
        <v>25659</v>
      </c>
      <c r="B5" s="10" t="n">
        <f aca="false">B4*(1+Returns!F5)</f>
        <v>0.895117930826703</v>
      </c>
      <c r="C5" s="10" t="n">
        <f aca="false">C4*(1+Returns!G5)</f>
        <v>0.89998598097796</v>
      </c>
    </row>
    <row r="6" customFormat="false" ht="13.8" hidden="false" customHeight="false" outlineLevel="0" collapsed="false">
      <c r="A6" s="7" t="n">
        <v>25689</v>
      </c>
      <c r="B6" s="10" t="n">
        <f aca="false">B5*(1+Returns!F6)</f>
        <v>0.846164826307721</v>
      </c>
      <c r="C6" s="10" t="n">
        <f aca="false">C5*(1+Returns!G6)</f>
        <v>0.825901834981798</v>
      </c>
    </row>
    <row r="7" customFormat="false" ht="13.8" hidden="false" customHeight="false" outlineLevel="0" collapsed="false">
      <c r="A7" s="7" t="n">
        <v>25720</v>
      </c>
      <c r="B7" s="10" t="n">
        <f aca="false">B6*(1+Returns!F7)</f>
        <v>0.804675672544201</v>
      </c>
      <c r="C7" s="10" t="n">
        <f aca="false">C6*(1+Returns!G7)</f>
        <v>0.777294208385779</v>
      </c>
    </row>
    <row r="8" customFormat="false" ht="13.8" hidden="false" customHeight="false" outlineLevel="0" collapsed="false">
      <c r="A8" s="7" t="n">
        <v>25750</v>
      </c>
      <c r="B8" s="10" t="n">
        <f aca="false">B7*(1+Returns!F8)</f>
        <v>0.865447193361757</v>
      </c>
      <c r="C8" s="10" t="n">
        <f aca="false">C7*(1+Returns!G8)</f>
        <v>0.840956935935199</v>
      </c>
    </row>
    <row r="9" customFormat="false" ht="13.8" hidden="false" customHeight="false" outlineLevel="0" collapsed="false">
      <c r="A9" s="7" t="n">
        <v>25781</v>
      </c>
      <c r="B9" s="10" t="n">
        <f aca="false">B8*(1+Returns!F9)</f>
        <v>0.908528289200112</v>
      </c>
      <c r="C9" s="10" t="n">
        <f aca="false">C8*(1+Returns!G9)</f>
        <v>0.893720256009646</v>
      </c>
    </row>
    <row r="10" customFormat="false" ht="13.8" hidden="false" customHeight="false" outlineLevel="0" collapsed="false">
      <c r="A10" s="7" t="n">
        <v>25812</v>
      </c>
      <c r="B10" s="10" t="n">
        <f aca="false">B9*(1+Returns!F10)</f>
        <v>0.940056037891934</v>
      </c>
      <c r="C10" s="10" t="n">
        <f aca="false">C9*(1+Returns!G10)</f>
        <v>0.952035502714275</v>
      </c>
    </row>
    <row r="11" customFormat="false" ht="13.8" hidden="false" customHeight="false" outlineLevel="0" collapsed="false">
      <c r="A11" s="7" t="n">
        <v>25842</v>
      </c>
      <c r="B11" s="10" t="n">
        <f aca="false">B10*(1+Returns!F11)</f>
        <v>0.931565451757694</v>
      </c>
      <c r="C11" s="10" t="n">
        <f aca="false">C10*(1+Returns!G11)</f>
        <v>0.921415184840476</v>
      </c>
    </row>
    <row r="12" customFormat="false" ht="13.8" hidden="false" customHeight="false" outlineLevel="0" collapsed="false">
      <c r="A12" s="7" t="n">
        <v>25873</v>
      </c>
      <c r="B12" s="10" t="n">
        <f aca="false">B11*(1+Returns!F12)</f>
        <v>0.98223050198244</v>
      </c>
      <c r="C12" s="10" t="n">
        <f aca="false">C11*(1+Returns!G12)</f>
        <v>0.964663649371333</v>
      </c>
    </row>
    <row r="13" customFormat="false" ht="13.8" hidden="false" customHeight="false" outlineLevel="0" collapsed="false">
      <c r="A13" s="7" t="n">
        <v>25903</v>
      </c>
      <c r="B13" s="10" t="n">
        <f aca="false">B12*(1+Returns!F13)</f>
        <v>1.03987171676078</v>
      </c>
      <c r="C13" s="10" t="n">
        <f aca="false">C12*(1+Returns!G13)</f>
        <v>1.04618255106146</v>
      </c>
    </row>
    <row r="14" customFormat="false" ht="13.8" hidden="false" customHeight="false" outlineLevel="0" collapsed="false">
      <c r="A14" s="7" t="n">
        <v>25934</v>
      </c>
      <c r="B14" s="10" t="n">
        <f aca="false">B13*(1+Returns!F14)</f>
        <v>1.08440734264621</v>
      </c>
      <c r="C14" s="10" t="n">
        <f aca="false">C13*(1+Returns!G14)</f>
        <v>1.1339938834848</v>
      </c>
    </row>
    <row r="15" customFormat="false" ht="13.8" hidden="false" customHeight="false" outlineLevel="0" collapsed="false">
      <c r="A15" s="7" t="n">
        <v>25965</v>
      </c>
      <c r="B15" s="10" t="n">
        <f aca="false">B14*(1+Returns!F15)</f>
        <v>1.09884839522823</v>
      </c>
      <c r="C15" s="10" t="n">
        <f aca="false">C14*(1+Returns!G15)</f>
        <v>1.15792228842021</v>
      </c>
    </row>
    <row r="16" customFormat="false" ht="13.8" hidden="false" customHeight="false" outlineLevel="0" collapsed="false">
      <c r="A16" s="7" t="n">
        <v>25993</v>
      </c>
      <c r="B16" s="10" t="n">
        <f aca="false">B15*(1+Returns!F16)</f>
        <v>1.141778204333</v>
      </c>
      <c r="C16" s="10" t="n">
        <f aca="false">C15*(1+Returns!G16)</f>
        <v>1.20410949266072</v>
      </c>
    </row>
    <row r="17" customFormat="false" ht="13.8" hidden="false" customHeight="false" outlineLevel="0" collapsed="false">
      <c r="A17" s="7" t="n">
        <v>26024</v>
      </c>
      <c r="B17" s="10" t="n">
        <f aca="false">B16*(1+Returns!F17)</f>
        <v>1.18398403565617</v>
      </c>
      <c r="C17" s="10" t="n">
        <f aca="false">C16*(1+Returns!G17)</f>
        <v>1.25392831881006</v>
      </c>
    </row>
    <row r="18" customFormat="false" ht="13.8" hidden="false" customHeight="false" outlineLevel="0" collapsed="false">
      <c r="A18" s="7" t="n">
        <v>26054</v>
      </c>
      <c r="B18" s="10" t="n">
        <f aca="false">B17*(1+Returns!F18)</f>
        <v>1.13999902873155</v>
      </c>
      <c r="C18" s="10" t="n">
        <f aca="false">C17*(1+Returns!G18)</f>
        <v>1.20239813454856</v>
      </c>
    </row>
    <row r="19" customFormat="false" ht="13.8" hidden="false" customHeight="false" outlineLevel="0" collapsed="false">
      <c r="A19" s="7" t="n">
        <v>26085</v>
      </c>
      <c r="B19" s="10" t="n">
        <f aca="false">B18*(1+Returns!F19)</f>
        <v>1.14277948636262</v>
      </c>
      <c r="C19" s="10" t="n">
        <f aca="false">C18*(1+Returns!G19)</f>
        <v>1.19560819228277</v>
      </c>
    </row>
    <row r="20" customFormat="false" ht="13.8" hidden="false" customHeight="false" outlineLevel="0" collapsed="false">
      <c r="A20" s="7" t="n">
        <v>26115</v>
      </c>
      <c r="B20" s="10" t="n">
        <f aca="false">B19*(1+Returns!F20)</f>
        <v>1.0961232282729</v>
      </c>
      <c r="C20" s="10" t="n">
        <f aca="false">C19*(1+Returns!G20)</f>
        <v>1.14435725151238</v>
      </c>
    </row>
    <row r="21" customFormat="false" ht="13.8" hidden="false" customHeight="false" outlineLevel="0" collapsed="false">
      <c r="A21" s="7" t="n">
        <v>26146</v>
      </c>
      <c r="B21" s="10" t="n">
        <f aca="false">B20*(1+Returns!F21)</f>
        <v>1.14219986429658</v>
      </c>
      <c r="C21" s="10" t="n">
        <f aca="false">C20*(1+Returns!G21)</f>
        <v>1.20462825923503</v>
      </c>
    </row>
    <row r="22" customFormat="false" ht="13.8" hidden="false" customHeight="false" outlineLevel="0" collapsed="false">
      <c r="A22" s="7" t="n">
        <v>26177</v>
      </c>
      <c r="B22" s="10" t="n">
        <f aca="false">B21*(1+Returns!F22)</f>
        <v>1.13644546138025</v>
      </c>
      <c r="C22" s="10" t="n">
        <f aca="false">C21*(1+Returns!G22)</f>
        <v>1.18756831382774</v>
      </c>
    </row>
    <row r="23" customFormat="false" ht="13.8" hidden="false" customHeight="false" outlineLevel="0" collapsed="false">
      <c r="A23" s="7" t="n">
        <v>26207</v>
      </c>
      <c r="B23" s="10" t="n">
        <f aca="false">B22*(1+Returns!F23)</f>
        <v>1.09084104146052</v>
      </c>
      <c r="C23" s="10" t="n">
        <f aca="false">C22*(1+Returns!G23)</f>
        <v>1.12227462036518</v>
      </c>
    </row>
    <row r="24" customFormat="false" ht="13.8" hidden="false" customHeight="false" outlineLevel="0" collapsed="false">
      <c r="A24" s="7" t="n">
        <v>26238</v>
      </c>
      <c r="B24" s="10" t="n">
        <f aca="false">B23*(1+Returns!F24)</f>
        <v>1.09400338963972</v>
      </c>
      <c r="C24" s="10" t="n">
        <f aca="false">C23*(1+Returns!G24)</f>
        <v>1.10288957084761</v>
      </c>
    </row>
    <row r="25" customFormat="false" ht="13.8" hidden="false" customHeight="false" outlineLevel="0" collapsed="false">
      <c r="A25" s="7" t="n">
        <v>26268</v>
      </c>
      <c r="B25" s="10" t="n">
        <f aca="false">B24*(1+Returns!F25)</f>
        <v>1.19014440752125</v>
      </c>
      <c r="C25" s="10" t="n">
        <f aca="false">C24*(1+Returns!G25)</f>
        <v>1.22307034449331</v>
      </c>
    </row>
    <row r="26" customFormat="false" ht="13.8" hidden="false" customHeight="false" outlineLevel="0" collapsed="false">
      <c r="A26" s="7" t="n">
        <v>26299</v>
      </c>
      <c r="B26" s="10" t="n">
        <f aca="false">B25*(1+Returns!F26)</f>
        <v>1.21286188397202</v>
      </c>
      <c r="C26" s="10" t="n">
        <f aca="false">C25*(1+Returns!G26)</f>
        <v>1.26971702436194</v>
      </c>
    </row>
    <row r="27" customFormat="false" ht="13.8" hidden="false" customHeight="false" outlineLevel="0" collapsed="false">
      <c r="A27" s="7" t="n">
        <v>26330</v>
      </c>
      <c r="B27" s="10" t="n">
        <f aca="false">B26*(1+Returns!F27)</f>
        <v>1.24951578296754</v>
      </c>
      <c r="C27" s="10" t="n">
        <f aca="false">C26*(1+Returns!G27)</f>
        <v>1.30473328045979</v>
      </c>
    </row>
    <row r="28" customFormat="false" ht="13.8" hidden="false" customHeight="false" outlineLevel="0" collapsed="false">
      <c r="A28" s="7" t="n">
        <v>26359</v>
      </c>
      <c r="B28" s="10" t="n">
        <f aca="false">B27*(1+Returns!F28)</f>
        <v>1.25865599091995</v>
      </c>
      <c r="C28" s="10" t="n">
        <f aca="false">C27*(1+Returns!G28)</f>
        <v>1.30640464379206</v>
      </c>
    </row>
    <row r="29" customFormat="false" ht="13.8" hidden="false" customHeight="false" outlineLevel="0" collapsed="false">
      <c r="A29" s="7" t="n">
        <v>26390</v>
      </c>
      <c r="B29" s="10" t="n">
        <f aca="false">B28*(1+Returns!F29)</f>
        <v>1.26554839112622</v>
      </c>
      <c r="C29" s="10" t="n">
        <f aca="false">C28*(1+Returns!G29)</f>
        <v>1.31250555347857</v>
      </c>
    </row>
    <row r="30" customFormat="false" ht="13.8" hidden="false" customHeight="false" outlineLevel="0" collapsed="false">
      <c r="A30" s="7" t="n">
        <v>26420</v>
      </c>
      <c r="B30" s="10" t="n">
        <f aca="false">B29*(1+Returns!F30)</f>
        <v>1.29341450115043</v>
      </c>
      <c r="C30" s="10" t="n">
        <f aca="false">C29*(1+Returns!G30)</f>
        <v>1.3137458712266</v>
      </c>
    </row>
    <row r="31" customFormat="false" ht="13.8" hidden="false" customHeight="false" outlineLevel="0" collapsed="false">
      <c r="A31" s="7" t="n">
        <v>26451</v>
      </c>
      <c r="B31" s="10" t="n">
        <f aca="false">B30*(1+Returns!F31)</f>
        <v>1.26734443846524</v>
      </c>
      <c r="C31" s="10" t="n">
        <f aca="false">C30*(1+Returns!G31)</f>
        <v>1.27299347430116</v>
      </c>
    </row>
    <row r="32" customFormat="false" ht="13.8" hidden="false" customHeight="false" outlineLevel="0" collapsed="false">
      <c r="A32" s="7" t="n">
        <v>26481</v>
      </c>
      <c r="B32" s="10" t="n">
        <f aca="false">B31*(1+Returns!F32)</f>
        <v>1.27145697116806</v>
      </c>
      <c r="C32" s="10" t="n">
        <f aca="false">C31*(1+Returns!G32)</f>
        <v>1.24724590828994</v>
      </c>
    </row>
    <row r="33" customFormat="false" ht="13.8" hidden="false" customHeight="false" outlineLevel="0" collapsed="false">
      <c r="A33" s="7" t="n">
        <v>26512</v>
      </c>
      <c r="B33" s="10" t="n">
        <f aca="false">B32*(1+Returns!F33)</f>
        <v>1.32158416225636</v>
      </c>
      <c r="C33" s="10" t="n">
        <f aca="false">C32*(1+Returns!G33)</f>
        <v>1.29838922675937</v>
      </c>
    </row>
    <row r="34" customFormat="false" ht="13.8" hidden="false" customHeight="false" outlineLevel="0" collapsed="false">
      <c r="A34" s="7" t="n">
        <v>26543</v>
      </c>
      <c r="B34" s="10" t="n">
        <f aca="false">B33*(1+Returns!F34)</f>
        <v>1.31725333095665</v>
      </c>
      <c r="C34" s="10" t="n">
        <f aca="false">C33*(1+Returns!G34)</f>
        <v>1.27056734240837</v>
      </c>
    </row>
    <row r="35" customFormat="false" ht="13.8" hidden="false" customHeight="false" outlineLevel="0" collapsed="false">
      <c r="A35" s="7" t="n">
        <v>26573</v>
      </c>
      <c r="B35" s="10" t="n">
        <f aca="false">B34*(1+Returns!F35)</f>
        <v>1.3315824126908</v>
      </c>
      <c r="C35" s="10" t="n">
        <f aca="false">C34*(1+Returns!G35)</f>
        <v>1.27458360577772</v>
      </c>
    </row>
    <row r="36" customFormat="false" ht="13.8" hidden="false" customHeight="false" outlineLevel="0" collapsed="false">
      <c r="A36" s="7" t="n">
        <v>26604</v>
      </c>
      <c r="B36" s="10" t="n">
        <f aca="false">B35*(1+Returns!F36)</f>
        <v>1.39855701330191</v>
      </c>
      <c r="C36" s="10" t="n">
        <f aca="false">C35*(1+Returns!G36)</f>
        <v>1.36764605316998</v>
      </c>
    </row>
    <row r="37" customFormat="false" ht="13.8" hidden="false" customHeight="false" outlineLevel="0" collapsed="false">
      <c r="A37" s="7" t="n">
        <v>26634</v>
      </c>
      <c r="B37" s="10" t="n">
        <f aca="false">B36*(1+Returns!F37)</f>
        <v>1.41766549777465</v>
      </c>
      <c r="C37" s="10" t="n">
        <f aca="false">C36*(1+Returns!G37)</f>
        <v>1.3514544915465</v>
      </c>
    </row>
    <row r="38" customFormat="false" ht="13.8" hidden="false" customHeight="false" outlineLevel="0" collapsed="false">
      <c r="A38" s="7" t="n">
        <v>26665</v>
      </c>
      <c r="B38" s="10" t="n">
        <f aca="false">B37*(1+Returns!F38)</f>
        <v>1.39391676535593</v>
      </c>
      <c r="C38" s="10" t="n">
        <f aca="false">C37*(1+Returns!G38)</f>
        <v>1.28517375746309</v>
      </c>
    </row>
    <row r="39" customFormat="false" ht="13.8" hidden="false" customHeight="false" outlineLevel="0" collapsed="false">
      <c r="A39" s="7" t="n">
        <v>26696</v>
      </c>
      <c r="B39" s="10" t="n">
        <f aca="false">B38*(1+Returns!F39)</f>
        <v>1.34677728818512</v>
      </c>
      <c r="C39" s="10" t="n">
        <f aca="false">C38*(1+Returns!G39)</f>
        <v>1.22341216220069</v>
      </c>
    </row>
    <row r="40" customFormat="false" ht="13.8" hidden="false" customHeight="false" outlineLevel="0" collapsed="false">
      <c r="A40" s="7" t="n">
        <v>26724</v>
      </c>
      <c r="B40" s="10" t="n">
        <f aca="false">B39*(1+Returns!F40)</f>
        <v>1.34530526060914</v>
      </c>
      <c r="C40" s="10" t="n">
        <f aca="false">C39*(1+Returns!G40)</f>
        <v>1.20683982105152</v>
      </c>
    </row>
    <row r="41" customFormat="false" ht="13.8" hidden="false" customHeight="false" outlineLevel="0" collapsed="false">
      <c r="A41" s="7" t="n">
        <v>26755</v>
      </c>
      <c r="B41" s="10" t="n">
        <f aca="false">B40*(1+Returns!F41)</f>
        <v>1.29140695064809</v>
      </c>
      <c r="C41" s="10" t="n">
        <f aca="false">C40*(1+Returns!G41)</f>
        <v>1.14785914531709</v>
      </c>
    </row>
    <row r="42" customFormat="false" ht="13.8" hidden="false" customHeight="false" outlineLevel="0" collapsed="false">
      <c r="A42" s="7" t="n">
        <v>26785</v>
      </c>
      <c r="B42" s="10" t="n">
        <f aca="false">B41*(1+Returns!F42)</f>
        <v>1.27339182368655</v>
      </c>
      <c r="C42" s="10" t="n">
        <f aca="false">C41*(1+Returns!G42)</f>
        <v>1.09403029069744</v>
      </c>
    </row>
    <row r="43" customFormat="false" ht="13.8" hidden="false" customHeight="false" outlineLevel="0" collapsed="false">
      <c r="A43" s="7" t="n">
        <v>26816</v>
      </c>
      <c r="B43" s="10" t="n">
        <f aca="false">B42*(1+Returns!F43)</f>
        <v>1.2667982008235</v>
      </c>
      <c r="C43" s="10" t="n">
        <f aca="false">C42*(1+Returns!G43)</f>
        <v>1.06476388639099</v>
      </c>
    </row>
    <row r="44" customFormat="false" ht="13.8" hidden="false" customHeight="false" outlineLevel="0" collapsed="false">
      <c r="A44" s="7" t="n">
        <v>26846</v>
      </c>
      <c r="B44" s="10" t="n">
        <f aca="false">B43*(1+Returns!F44)</f>
        <v>1.31636548082532</v>
      </c>
      <c r="C44" s="10" t="n">
        <f aca="false">C43*(1+Returns!G44)</f>
        <v>1.14377575534452</v>
      </c>
    </row>
    <row r="45" customFormat="false" ht="13.8" hidden="false" customHeight="false" outlineLevel="0" collapsed="false">
      <c r="A45" s="7" t="n">
        <v>26877</v>
      </c>
      <c r="B45" s="10" t="n">
        <f aca="false">B44*(1+Returns!F45)</f>
        <v>1.27484204809817</v>
      </c>
      <c r="C45" s="10" t="n">
        <f aca="false">C44*(1+Returns!G45)</f>
        <v>1.12040841666284</v>
      </c>
    </row>
    <row r="46" customFormat="false" ht="13.8" hidden="false" customHeight="false" outlineLevel="0" collapsed="false">
      <c r="A46" s="7" t="n">
        <v>26908</v>
      </c>
      <c r="B46" s="10" t="n">
        <f aca="false">B45*(1+Returns!F46)</f>
        <v>1.32866460452683</v>
      </c>
      <c r="C46" s="10" t="n">
        <f aca="false">C45*(1+Returns!G46)</f>
        <v>1.22696149790431</v>
      </c>
    </row>
    <row r="47" customFormat="false" ht="13.8" hidden="false" customHeight="false" outlineLevel="0" collapsed="false">
      <c r="A47" s="7" t="n">
        <v>26938</v>
      </c>
      <c r="B47" s="10" t="n">
        <f aca="false">B46*(1+Returns!F47)</f>
        <v>1.32907914788344</v>
      </c>
      <c r="C47" s="10" t="n">
        <f aca="false">C46*(1+Returns!G47)</f>
        <v>1.22741547365853</v>
      </c>
    </row>
    <row r="48" customFormat="false" ht="13.8" hidden="false" customHeight="false" outlineLevel="0" collapsed="false">
      <c r="A48" s="7" t="n">
        <v>26969</v>
      </c>
      <c r="B48" s="10" t="n">
        <f aca="false">B47*(1+Returns!F48)</f>
        <v>1.18657528164738</v>
      </c>
      <c r="C48" s="10" t="n">
        <f aca="false">C47*(1+Returns!G48)</f>
        <v>1.04217147554304</v>
      </c>
    </row>
    <row r="49" customFormat="false" ht="13.8" hidden="false" customHeight="false" outlineLevel="0" collapsed="false">
      <c r="A49" s="7" t="n">
        <v>26999</v>
      </c>
      <c r="B49" s="10" t="n">
        <f aca="false">B48*(1+Returns!F49)</f>
        <v>1.20789922603386</v>
      </c>
      <c r="C49" s="10" t="n">
        <f aca="false">C48*(1+Returns!G49)</f>
        <v>1.05281413065128</v>
      </c>
    </row>
    <row r="50" customFormat="false" ht="13.8" hidden="false" customHeight="false" outlineLevel="0" collapsed="false">
      <c r="A50" s="7" t="n">
        <v>27030</v>
      </c>
      <c r="B50" s="10" t="n">
        <f aca="false">B49*(1+Returns!F50)</f>
        <v>1.19809108431847</v>
      </c>
      <c r="C50" s="10" t="n">
        <f aca="false">C49*(1+Returns!G50)</f>
        <v>1.12713649139048</v>
      </c>
    </row>
    <row r="51" customFormat="false" ht="13.8" hidden="false" customHeight="false" outlineLevel="0" collapsed="false">
      <c r="A51" s="7" t="n">
        <v>27061</v>
      </c>
      <c r="B51" s="10" t="n">
        <f aca="false">B50*(1+Returns!F51)</f>
        <v>1.20047768175843</v>
      </c>
      <c r="C51" s="10" t="n">
        <f aca="false">C50*(1+Returns!G51)</f>
        <v>1.14432532288418</v>
      </c>
    </row>
    <row r="52" customFormat="false" ht="13.8" hidden="false" customHeight="false" outlineLevel="0" collapsed="false">
      <c r="A52" s="7" t="n">
        <v>27089</v>
      </c>
      <c r="B52" s="10" t="n">
        <f aca="false">B51*(1+Returns!F52)</f>
        <v>1.17428565969782</v>
      </c>
      <c r="C52" s="10" t="n">
        <f aca="false">C51*(1+Returns!G52)</f>
        <v>1.12059316001289</v>
      </c>
    </row>
    <row r="53" customFormat="false" ht="13.8" hidden="false" customHeight="false" outlineLevel="0" collapsed="false">
      <c r="A53" s="7" t="n">
        <v>27120</v>
      </c>
      <c r="B53" s="10" t="n">
        <f aca="false">B52*(1+Returns!F53)</f>
        <v>1.13007497889586</v>
      </c>
      <c r="C53" s="10" t="n">
        <f aca="false">C52*(1+Returns!G53)</f>
        <v>1.05953091813063</v>
      </c>
    </row>
    <row r="54" customFormat="false" ht="13.8" hidden="false" customHeight="false" outlineLevel="0" collapsed="false">
      <c r="A54" s="7" t="n">
        <v>27150</v>
      </c>
      <c r="B54" s="10" t="n">
        <f aca="false">B53*(1+Returns!F54)</f>
        <v>1.09968048226348</v>
      </c>
      <c r="C54" s="10" t="n">
        <f aca="false">C53*(1+Returns!G54)</f>
        <v>0.993801858093475</v>
      </c>
    </row>
    <row r="55" customFormat="false" ht="13.8" hidden="false" customHeight="false" outlineLevel="0" collapsed="false">
      <c r="A55" s="7" t="n">
        <v>27181</v>
      </c>
      <c r="B55" s="10" t="n">
        <f aca="false">B54*(1+Returns!F55)</f>
        <v>1.08558697720279</v>
      </c>
      <c r="C55" s="10" t="n">
        <f aca="false">C54*(1+Returns!G55)</f>
        <v>0.965550058871594</v>
      </c>
    </row>
    <row r="56" customFormat="false" ht="13.8" hidden="false" customHeight="false" outlineLevel="0" collapsed="false">
      <c r="A56" s="7" t="n">
        <v>27211</v>
      </c>
      <c r="B56" s="10" t="n">
        <f aca="false">B55*(1+Returns!F56)</f>
        <v>1.00232462722529</v>
      </c>
      <c r="C56" s="10" t="n">
        <f aca="false">C55*(1+Returns!G56)</f>
        <v>0.919186276144698</v>
      </c>
    </row>
    <row r="57" customFormat="false" ht="13.8" hidden="false" customHeight="false" outlineLevel="0" collapsed="false">
      <c r="A57" s="7" t="n">
        <v>27242</v>
      </c>
      <c r="B57" s="10" t="n">
        <f aca="false">B56*(1+Returns!F57)</f>
        <v>0.919955594009169</v>
      </c>
      <c r="C57" s="10" t="n">
        <f aca="false">C56*(1+Returns!G57)</f>
        <v>0.837818987794093</v>
      </c>
    </row>
    <row r="58" customFormat="false" ht="13.8" hidden="false" customHeight="false" outlineLevel="0" collapsed="false">
      <c r="A58" s="7" t="n">
        <v>27273</v>
      </c>
      <c r="B58" s="10" t="n">
        <f aca="false">B57*(1+Returns!F58)</f>
        <v>0.811850692201557</v>
      </c>
      <c r="C58" s="10" t="n">
        <f aca="false">C57*(1+Returns!G58)</f>
        <v>0.770388802199461</v>
      </c>
    </row>
    <row r="59" customFormat="false" ht="13.8" hidden="false" customHeight="false" outlineLevel="0" collapsed="false">
      <c r="A59" s="7" t="n">
        <v>27303</v>
      </c>
      <c r="B59" s="10" t="n">
        <f aca="false">B58*(1+Returns!F59)</f>
        <v>0.948333347619637</v>
      </c>
      <c r="C59" s="10" t="n">
        <f aca="false">C58*(1+Returns!G59)</f>
        <v>0.875580000418182</v>
      </c>
    </row>
    <row r="60" customFormat="false" ht="13.8" hidden="false" customHeight="false" outlineLevel="0" collapsed="false">
      <c r="A60" s="7" t="n">
        <v>27334</v>
      </c>
      <c r="B60" s="10" t="n">
        <f aca="false">B59*(1+Returns!F60)</f>
        <v>0.905005893633591</v>
      </c>
      <c r="C60" s="10" t="n">
        <f aca="false">C59*(1+Returns!G60)</f>
        <v>0.840236338121302</v>
      </c>
    </row>
    <row r="61" customFormat="false" ht="13.8" hidden="false" customHeight="false" outlineLevel="0" collapsed="false">
      <c r="A61" s="7" t="n">
        <v>27364</v>
      </c>
      <c r="B61" s="10" t="n">
        <f aca="false">B60*(1+Returns!F61)</f>
        <v>0.888695877418527</v>
      </c>
      <c r="C61" s="10" t="n">
        <f aca="false">C60*(1+Returns!G61)</f>
        <v>0.811182646021743</v>
      </c>
    </row>
    <row r="62" customFormat="false" ht="13.8" hidden="false" customHeight="false" outlineLevel="0" collapsed="false">
      <c r="A62" s="7" t="n">
        <v>27395</v>
      </c>
      <c r="B62" s="10" t="n">
        <f aca="false">B61*(1+Returns!F62)</f>
        <v>0.998547574826231</v>
      </c>
      <c r="C62" s="10" t="n">
        <f aca="false">C61*(1+Returns!G62)</f>
        <v>0.998805136133343</v>
      </c>
    </row>
    <row r="63" customFormat="false" ht="13.8" hidden="false" customHeight="false" outlineLevel="0" collapsed="false">
      <c r="A63" s="7" t="n">
        <v>27426</v>
      </c>
      <c r="B63" s="10" t="n">
        <f aca="false">B62*(1+Returns!F63)</f>
        <v>1.06590959422401</v>
      </c>
      <c r="C63" s="10" t="n">
        <f aca="false">C62*(1+Returns!G63)</f>
        <v>1.04584985685036</v>
      </c>
    </row>
    <row r="64" customFormat="false" ht="13.8" hidden="false" customHeight="false" outlineLevel="0" collapsed="false">
      <c r="A64" s="7" t="n">
        <v>27454</v>
      </c>
      <c r="B64" s="10" t="n">
        <f aca="false">B63*(1+Returns!F64)</f>
        <v>1.0915063472197</v>
      </c>
      <c r="C64" s="10" t="n">
        <f aca="false">C63*(1+Returns!G64)</f>
        <v>1.11762548667614</v>
      </c>
    </row>
    <row r="65" customFormat="false" ht="13.8" hidden="false" customHeight="false" outlineLevel="0" collapsed="false">
      <c r="A65" s="7" t="n">
        <v>27485</v>
      </c>
      <c r="B65" s="10" t="n">
        <f aca="false">B64*(1+Returns!F65)</f>
        <v>1.14545295692469</v>
      </c>
      <c r="C65" s="10" t="n">
        <f aca="false">C64*(1+Returns!G65)</f>
        <v>1.16577949839507</v>
      </c>
    </row>
    <row r="66" customFormat="false" ht="13.8" hidden="false" customHeight="false" outlineLevel="0" collapsed="false">
      <c r="A66" s="7" t="n">
        <v>27515</v>
      </c>
      <c r="B66" s="10" t="n">
        <f aca="false">B65*(1+Returns!F66)</f>
        <v>1.20409213014854</v>
      </c>
      <c r="C66" s="10" t="n">
        <f aca="false">C65*(1+Returns!G66)</f>
        <v>1.23460478842132</v>
      </c>
    </row>
    <row r="67" customFormat="false" ht="13.8" hidden="false" customHeight="false" outlineLevel="0" collapsed="false">
      <c r="A67" s="7" t="n">
        <v>27546</v>
      </c>
      <c r="B67" s="10" t="n">
        <f aca="false">B66*(1+Returns!F67)</f>
        <v>1.259745268404</v>
      </c>
      <c r="C67" s="10" t="n">
        <f aca="false">C66*(1+Returns!G67)</f>
        <v>1.31365900223351</v>
      </c>
    </row>
    <row r="68" customFormat="false" ht="13.8" hidden="false" customHeight="false" outlineLevel="0" collapsed="false">
      <c r="A68" s="7" t="n">
        <v>27576</v>
      </c>
      <c r="B68" s="10" t="n">
        <f aca="false">B67*(1+Returns!F68)</f>
        <v>1.17722691434247</v>
      </c>
      <c r="C68" s="10" t="n">
        <f aca="false">C67*(1+Returns!G68)</f>
        <v>1.24171121234019</v>
      </c>
    </row>
    <row r="69" customFormat="false" ht="13.8" hidden="false" customHeight="false" outlineLevel="0" collapsed="false">
      <c r="A69" s="7" t="n">
        <v>27607</v>
      </c>
      <c r="B69" s="10" t="n">
        <f aca="false">B68*(1+Returns!F69)</f>
        <v>1.15878800918312</v>
      </c>
      <c r="C69" s="10" t="n">
        <f aca="false">C68*(1+Returns!G69)</f>
        <v>1.20674834973432</v>
      </c>
    </row>
    <row r="70" customFormat="false" ht="13.8" hidden="false" customHeight="false" outlineLevel="0" collapsed="false">
      <c r="A70" s="7" t="n">
        <v>27638</v>
      </c>
      <c r="B70" s="10" t="n">
        <f aca="false">B69*(1+Returns!F70)</f>
        <v>1.12141709588696</v>
      </c>
      <c r="C70" s="10" t="n">
        <f aca="false">C69*(1+Returns!G70)</f>
        <v>1.16385085939797</v>
      </c>
    </row>
    <row r="71" customFormat="false" ht="13.8" hidden="false" customHeight="false" outlineLevel="0" collapsed="false">
      <c r="A71" s="7" t="n">
        <v>27668</v>
      </c>
      <c r="B71" s="10" t="n">
        <f aca="false">B70*(1+Returns!F71)</f>
        <v>1.19414660164071</v>
      </c>
      <c r="C71" s="10" t="n">
        <f aca="false">C70*(1+Returns!G71)</f>
        <v>1.21973897766626</v>
      </c>
    </row>
    <row r="72" customFormat="false" ht="13.8" hidden="false" customHeight="false" outlineLevel="0" collapsed="false">
      <c r="A72" s="7" t="n">
        <v>27699</v>
      </c>
      <c r="B72" s="10" t="n">
        <f aca="false">B71*(1+Returns!F72)</f>
        <v>1.23007727873748</v>
      </c>
      <c r="C72" s="10" t="n">
        <f aca="false">C71*(1+Returns!G72)</f>
        <v>1.26277746749321</v>
      </c>
    </row>
    <row r="73" customFormat="false" ht="13.8" hidden="false" customHeight="false" outlineLevel="0" collapsed="false">
      <c r="A73" s="7" t="n">
        <v>27729</v>
      </c>
      <c r="B73" s="10" t="n">
        <f aca="false">B72*(1+Returns!F73)</f>
        <v>1.21717991846992</v>
      </c>
      <c r="C73" s="10" t="n">
        <f aca="false">C72*(1+Returns!G73)</f>
        <v>1.25998799206752</v>
      </c>
    </row>
    <row r="74" customFormat="false" ht="13.8" hidden="false" customHeight="false" outlineLevel="0" collapsed="false">
      <c r="A74" s="7" t="n">
        <v>27760</v>
      </c>
      <c r="B74" s="10" t="n">
        <f aca="false">B73*(1+Returns!F74)</f>
        <v>1.36341556541465</v>
      </c>
      <c r="C74" s="10" t="n">
        <f aca="false">C73*(1+Returns!G74)</f>
        <v>1.46190484776032</v>
      </c>
    </row>
    <row r="75" customFormat="false" ht="13.8" hidden="false" customHeight="false" outlineLevel="0" collapsed="false">
      <c r="A75" s="7" t="n">
        <v>27791</v>
      </c>
      <c r="B75" s="10" t="n">
        <f aca="false">B74*(1+Returns!F75)</f>
        <v>1.35556638200456</v>
      </c>
      <c r="C75" s="10" t="n">
        <f aca="false">C74*(1+Returns!G75)</f>
        <v>1.51411093177868</v>
      </c>
    </row>
    <row r="76" customFormat="false" ht="13.8" hidden="false" customHeight="false" outlineLevel="0" collapsed="false">
      <c r="A76" s="7" t="n">
        <v>27820</v>
      </c>
      <c r="B76" s="10" t="n">
        <f aca="false">B75*(1+Returns!F76)</f>
        <v>1.39981206871319</v>
      </c>
      <c r="C76" s="10" t="n">
        <f aca="false">C75*(1+Returns!G76)</f>
        <v>1.54336204086972</v>
      </c>
    </row>
    <row r="77" customFormat="false" ht="13.8" hidden="false" customHeight="false" outlineLevel="0" collapsed="false">
      <c r="A77" s="7" t="n">
        <v>27851</v>
      </c>
      <c r="B77" s="10" t="n">
        <f aca="false">B76*(1+Returns!F77)</f>
        <v>1.38635987473285</v>
      </c>
      <c r="C77" s="10" t="n">
        <f aca="false">C76*(1+Returns!G77)</f>
        <v>1.53002121938844</v>
      </c>
    </row>
    <row r="78" customFormat="false" ht="13.8" hidden="false" customHeight="false" outlineLevel="0" collapsed="false">
      <c r="A78" s="7" t="n">
        <v>27881</v>
      </c>
      <c r="B78" s="10" t="n">
        <f aca="false">B77*(1+Returns!F78)</f>
        <v>1.37510817798952</v>
      </c>
      <c r="C78" s="10" t="n">
        <f aca="false">C77*(1+Returns!G78)</f>
        <v>1.50483554009609</v>
      </c>
    </row>
    <row r="79" customFormat="false" ht="13.8" hidden="false" customHeight="false" outlineLevel="0" collapsed="false">
      <c r="A79" s="7" t="n">
        <v>27912</v>
      </c>
      <c r="B79" s="10" t="n">
        <f aca="false">B78*(1+Returns!F79)</f>
        <v>1.43555655838576</v>
      </c>
      <c r="C79" s="10" t="n">
        <f aca="false">C78*(1+Returns!G79)</f>
        <v>1.58623510413096</v>
      </c>
    </row>
    <row r="80" customFormat="false" ht="13.8" hidden="false" customHeight="false" outlineLevel="0" collapsed="false">
      <c r="A80" s="7" t="n">
        <v>27942</v>
      </c>
      <c r="B80" s="10" t="n">
        <f aca="false">B79*(1+Returns!F80)</f>
        <v>1.42521768005227</v>
      </c>
      <c r="C80" s="10" t="n">
        <f aca="false">C79*(1+Returns!G80)</f>
        <v>1.57662886434035</v>
      </c>
    </row>
    <row r="81" customFormat="false" ht="13.8" hidden="false" customHeight="false" outlineLevel="0" collapsed="false">
      <c r="A81" s="7" t="n">
        <v>27973</v>
      </c>
      <c r="B81" s="10" t="n">
        <f aca="false">B80*(1+Returns!F81)</f>
        <v>1.42749660312267</v>
      </c>
      <c r="C81" s="10" t="n">
        <f aca="false">C80*(1+Returns!G81)</f>
        <v>1.56012786664616</v>
      </c>
    </row>
    <row r="82" customFormat="false" ht="13.8" hidden="false" customHeight="false" outlineLevel="0" collapsed="false">
      <c r="A82" s="7" t="n">
        <v>28004</v>
      </c>
      <c r="B82" s="10" t="n">
        <f aca="false">B81*(1+Returns!F82)</f>
        <v>1.46235749766753</v>
      </c>
      <c r="C82" s="10" t="n">
        <f aca="false">C81*(1+Returns!G82)</f>
        <v>1.59114320863509</v>
      </c>
    </row>
    <row r="83" customFormat="false" ht="13.8" hidden="false" customHeight="false" outlineLevel="0" collapsed="false">
      <c r="A83" s="7" t="n">
        <v>28034</v>
      </c>
      <c r="B83" s="10" t="n">
        <f aca="false">B82*(1+Returns!F83)</f>
        <v>1.43280179028217</v>
      </c>
      <c r="C83" s="10" t="n">
        <f aca="false">C82*(1+Returns!G83)</f>
        <v>1.55285393846249</v>
      </c>
    </row>
    <row r="84" customFormat="false" ht="13.8" hidden="false" customHeight="false" outlineLevel="0" collapsed="false">
      <c r="A84" s="7" t="n">
        <v>28065</v>
      </c>
      <c r="B84" s="10" t="n">
        <f aca="false">B83*(1+Returns!F84)</f>
        <v>1.43131024361849</v>
      </c>
      <c r="C84" s="10" t="n">
        <f aca="false">C83*(1+Returns!G84)</f>
        <v>1.58853231055261</v>
      </c>
    </row>
    <row r="85" customFormat="false" ht="13.8" hidden="false" customHeight="false" outlineLevel="0" collapsed="false">
      <c r="A85" s="7" t="n">
        <v>28095</v>
      </c>
      <c r="B85" s="10" t="n">
        <f aca="false">B84*(1+Returns!F85)</f>
        <v>1.50827895196907</v>
      </c>
      <c r="C85" s="10" t="n">
        <f aca="false">C84*(1+Returns!G85)</f>
        <v>1.70727668929872</v>
      </c>
    </row>
    <row r="86" customFormat="false" ht="13.8" hidden="false" customHeight="false" outlineLevel="0" collapsed="false">
      <c r="A86" s="7" t="n">
        <v>28126</v>
      </c>
      <c r="B86" s="10" t="n">
        <f aca="false">B85*(1+Returns!F86)</f>
        <v>1.433386868888</v>
      </c>
      <c r="C86" s="10" t="n">
        <f aca="false">C85*(1+Returns!G86)</f>
        <v>1.64925147645953</v>
      </c>
    </row>
    <row r="87" customFormat="false" ht="13.8" hidden="false" customHeight="false" outlineLevel="0" collapsed="false">
      <c r="A87" s="7" t="n">
        <v>28157</v>
      </c>
      <c r="B87" s="10" t="n">
        <f aca="false">B86*(1+Returns!F87)</f>
        <v>1.41097013164546</v>
      </c>
      <c r="C87" s="10" t="n">
        <f aca="false">C86*(1+Returns!G87)</f>
        <v>1.6180905190633</v>
      </c>
    </row>
    <row r="88" customFormat="false" ht="13.8" hidden="false" customHeight="false" outlineLevel="0" collapsed="false">
      <c r="A88" s="7" t="n">
        <v>28185</v>
      </c>
      <c r="B88" s="10" t="n">
        <f aca="false">B87*(1+Returns!F88)</f>
        <v>1.39333018305963</v>
      </c>
      <c r="C88" s="10" t="n">
        <f aca="false">C87*(1+Returns!G88)</f>
        <v>1.61931541358623</v>
      </c>
    </row>
    <row r="89" customFormat="false" ht="13.8" hidden="false" customHeight="false" outlineLevel="0" collapsed="false">
      <c r="A89" s="7" t="n">
        <v>28216</v>
      </c>
      <c r="B89" s="10" t="n">
        <f aca="false">B88*(1+Returns!F89)</f>
        <v>1.39422330770697</v>
      </c>
      <c r="C89" s="10" t="n">
        <f aca="false">C88*(1+Returns!G89)</f>
        <v>1.63266666917125</v>
      </c>
    </row>
    <row r="90" customFormat="false" ht="13.8" hidden="false" customHeight="false" outlineLevel="0" collapsed="false">
      <c r="A90" s="7" t="n">
        <v>28246</v>
      </c>
      <c r="B90" s="10" t="n">
        <f aca="false">B89*(1+Returns!F90)</f>
        <v>1.37322072779967</v>
      </c>
      <c r="C90" s="10" t="n">
        <f aca="false">C89*(1+Returns!G90)</f>
        <v>1.60983709113623</v>
      </c>
    </row>
    <row r="91" customFormat="false" ht="13.8" hidden="false" customHeight="false" outlineLevel="0" collapsed="false">
      <c r="A91" s="7" t="n">
        <v>28277</v>
      </c>
      <c r="B91" s="10" t="n">
        <f aca="false">B90*(1+Returns!F91)</f>
        <v>1.43882772129103</v>
      </c>
      <c r="C91" s="10" t="n">
        <f aca="false">C90*(1+Returns!G91)</f>
        <v>1.69462077137801</v>
      </c>
    </row>
    <row r="92" customFormat="false" ht="13.8" hidden="false" customHeight="false" outlineLevel="0" collapsed="false">
      <c r="A92" s="7" t="n">
        <v>28307</v>
      </c>
      <c r="B92" s="10" t="n">
        <f aca="false">B91*(1+Returns!F92)</f>
        <v>1.4165920776862</v>
      </c>
      <c r="C92" s="10" t="n">
        <f aca="false">C91*(1+Returns!G92)</f>
        <v>1.66477172111096</v>
      </c>
    </row>
    <row r="93" customFormat="false" ht="13.8" hidden="false" customHeight="false" outlineLevel="0" collapsed="false">
      <c r="A93" s="7" t="n">
        <v>28338</v>
      </c>
      <c r="B93" s="10" t="n">
        <f aca="false">B92*(1+Returns!F93)</f>
        <v>1.39915382920988</v>
      </c>
      <c r="C93" s="10" t="n">
        <f aca="false">C92*(1+Returns!G93)</f>
        <v>1.64045440058069</v>
      </c>
    </row>
    <row r="94" customFormat="false" ht="13.8" hidden="false" customHeight="false" outlineLevel="0" collapsed="false">
      <c r="A94" s="7" t="n">
        <v>28369</v>
      </c>
      <c r="B94" s="10" t="n">
        <f aca="false">B93*(1+Returns!F94)</f>
        <v>1.39799952730078</v>
      </c>
      <c r="C94" s="10" t="n">
        <f aca="false">C93*(1+Returns!G94)</f>
        <v>1.63727191904356</v>
      </c>
    </row>
    <row r="95" customFormat="false" ht="13.8" hidden="false" customHeight="false" outlineLevel="0" collapsed="false">
      <c r="A95" s="7" t="n">
        <v>28399</v>
      </c>
      <c r="B95" s="10" t="n">
        <f aca="false">B94*(1+Returns!F95)</f>
        <v>1.33930451714706</v>
      </c>
      <c r="C95" s="10" t="n">
        <f aca="false">C94*(1+Returns!G95)</f>
        <v>1.57620331373516</v>
      </c>
    </row>
    <row r="96" customFormat="false" ht="13.8" hidden="false" customHeight="false" outlineLevel="0" collapsed="false">
      <c r="A96" s="7" t="n">
        <v>28430</v>
      </c>
      <c r="B96" s="10" t="n">
        <f aca="false">B95*(1+Returns!F96)</f>
        <v>1.38852663676125</v>
      </c>
      <c r="C96" s="10" t="n">
        <f aca="false">C95*(1+Returns!G96)</f>
        <v>1.67528345403655</v>
      </c>
    </row>
    <row r="97" customFormat="false" ht="13.8" hidden="false" customHeight="false" outlineLevel="0" collapsed="false">
      <c r="A97" s="7" t="n">
        <v>28460</v>
      </c>
      <c r="B97" s="10" t="n">
        <f aca="false">B96*(1+Returns!F97)</f>
        <v>1.39626073012801</v>
      </c>
      <c r="C97" s="10" t="n">
        <f aca="false">C96*(1+Returns!G97)</f>
        <v>1.67749817876279</v>
      </c>
    </row>
    <row r="98" customFormat="false" ht="13.8" hidden="false" customHeight="false" outlineLevel="0" collapsed="false">
      <c r="A98" s="7" t="n">
        <v>28491</v>
      </c>
      <c r="B98" s="10" t="n">
        <f aca="false">B97*(1+Returns!F98)</f>
        <v>1.31158729067086</v>
      </c>
      <c r="C98" s="10" t="n">
        <f aca="false">C97*(1+Returns!G98)</f>
        <v>1.58992774133683</v>
      </c>
    </row>
    <row r="99" customFormat="false" ht="13.8" hidden="false" customHeight="false" outlineLevel="0" collapsed="false">
      <c r="A99" s="7" t="n">
        <v>28522</v>
      </c>
      <c r="B99" s="10" t="n">
        <f aca="false">B98*(1+Returns!F99)</f>
        <v>1.29026088132455</v>
      </c>
      <c r="C99" s="10" t="n">
        <f aca="false">C98*(1+Returns!G99)</f>
        <v>1.57385993158288</v>
      </c>
    </row>
    <row r="100" customFormat="false" ht="13.8" hidden="false" customHeight="false" outlineLevel="0" collapsed="false">
      <c r="A100" s="7" t="n">
        <v>28550</v>
      </c>
      <c r="B100" s="10" t="n">
        <f aca="false">B99*(1+Returns!F100)</f>
        <v>1.32500115555421</v>
      </c>
      <c r="C100" s="10" t="n">
        <f aca="false">C99*(1+Returns!G100)</f>
        <v>1.6570415766869</v>
      </c>
    </row>
    <row r="101" customFormat="false" ht="13.8" hidden="false" customHeight="false" outlineLevel="0" collapsed="false">
      <c r="A101" s="7" t="n">
        <v>28581</v>
      </c>
      <c r="B101" s="10" t="n">
        <f aca="false">B100*(1+Returns!F101)</f>
        <v>1.44287855835694</v>
      </c>
      <c r="C101" s="10" t="n">
        <f aca="false">C100*(1+Returns!G101)</f>
        <v>1.79680640551413</v>
      </c>
    </row>
    <row r="102" customFormat="false" ht="13.8" hidden="false" customHeight="false" outlineLevel="0" collapsed="false">
      <c r="A102" s="7" t="n">
        <v>28611</v>
      </c>
      <c r="B102" s="10" t="n">
        <f aca="false">B101*(1+Returns!F102)</f>
        <v>1.46267340929903</v>
      </c>
      <c r="C102" s="10" t="n">
        <f aca="false">C101*(1+Returns!G102)</f>
        <v>1.85715214864333</v>
      </c>
    </row>
    <row r="103" customFormat="false" ht="13.8" hidden="false" customHeight="false" outlineLevel="0" collapsed="false">
      <c r="A103" s="7" t="n">
        <v>28642</v>
      </c>
      <c r="B103" s="10" t="n">
        <f aca="false">B102*(1+Returns!F103)</f>
        <v>1.43842520951967</v>
      </c>
      <c r="C103" s="10" t="n">
        <f aca="false">C102*(1+Returns!G103)</f>
        <v>1.83461003586309</v>
      </c>
    </row>
    <row r="104" customFormat="false" ht="13.8" hidden="false" customHeight="false" outlineLevel="0" collapsed="false">
      <c r="A104" s="7" t="n">
        <v>28672</v>
      </c>
      <c r="B104" s="10" t="n">
        <f aca="false">B103*(1+Returns!F104)</f>
        <v>1.52037948583206</v>
      </c>
      <c r="C104" s="10" t="n">
        <f aca="false">C103*(1+Returns!G104)</f>
        <v>1.94746240299914</v>
      </c>
    </row>
    <row r="105" customFormat="false" ht="13.8" hidden="false" customHeight="false" outlineLevel="0" collapsed="false">
      <c r="A105" s="7" t="n">
        <v>28703</v>
      </c>
      <c r="B105" s="10" t="n">
        <f aca="false">B104*(1+Returns!F105)</f>
        <v>1.57152657211493</v>
      </c>
      <c r="C105" s="10" t="n">
        <f aca="false">C104*(1+Returns!G105)</f>
        <v>2.04591831224516</v>
      </c>
    </row>
    <row r="106" customFormat="false" ht="13.8" hidden="false" customHeight="false" outlineLevel="0" collapsed="false">
      <c r="A106" s="7" t="n">
        <v>28734</v>
      </c>
      <c r="B106" s="10" t="n">
        <f aca="false">B105*(1+Returns!F106)</f>
        <v>1.56341278042311</v>
      </c>
      <c r="C106" s="10" t="n">
        <f aca="false">C105*(1+Returns!G106)</f>
        <v>2.02864053209825</v>
      </c>
    </row>
    <row r="107" customFormat="false" ht="13.8" hidden="false" customHeight="false" outlineLevel="0" collapsed="false">
      <c r="A107" s="7" t="n">
        <v>28764</v>
      </c>
      <c r="B107" s="10" t="n">
        <f aca="false">B106*(1+Returns!F107)</f>
        <v>1.42337789768061</v>
      </c>
      <c r="C107" s="10" t="n">
        <f aca="false">C106*(1+Returns!G107)</f>
        <v>1.75942370436456</v>
      </c>
    </row>
    <row r="108" customFormat="false" ht="13.8" hidden="false" customHeight="false" outlineLevel="0" collapsed="false">
      <c r="A108" s="7" t="n">
        <v>28795</v>
      </c>
      <c r="B108" s="10" t="n">
        <f aca="false">B107*(1+Returns!F108)</f>
        <v>1.46148314737942</v>
      </c>
      <c r="C108" s="10" t="n">
        <f aca="false">C107*(1+Returns!G108)</f>
        <v>1.80997018796725</v>
      </c>
    </row>
    <row r="109" customFormat="false" ht="13.8" hidden="false" customHeight="false" outlineLevel="0" collapsed="false">
      <c r="A109" s="7" t="n">
        <v>28825</v>
      </c>
      <c r="B109" s="10" t="n">
        <f aca="false">B108*(1+Returns!F109)</f>
        <v>1.48578322767089</v>
      </c>
      <c r="C109" s="10" t="n">
        <f aca="false">C108*(1+Returns!G109)</f>
        <v>1.82639204748267</v>
      </c>
    </row>
    <row r="110" customFormat="false" ht="13.8" hidden="false" customHeight="false" outlineLevel="0" collapsed="false">
      <c r="A110" s="7" t="n">
        <v>28856</v>
      </c>
      <c r="B110" s="10" t="n">
        <f aca="false">B109*(1+Returns!F110)</f>
        <v>1.54922171414276</v>
      </c>
      <c r="C110" s="10" t="n">
        <f aca="false">C109*(1+Returns!G110)</f>
        <v>1.95193458404254</v>
      </c>
    </row>
    <row r="111" customFormat="false" ht="13.8" hidden="false" customHeight="false" outlineLevel="0" collapsed="false">
      <c r="A111" s="7" t="n">
        <v>28887</v>
      </c>
      <c r="B111" s="10" t="n">
        <f aca="false">B110*(1+Returns!F111)</f>
        <v>1.50483806125428</v>
      </c>
      <c r="C111" s="10" t="n">
        <f aca="false">C110*(1+Returns!G111)</f>
        <v>1.89221514544376</v>
      </c>
    </row>
    <row r="112" customFormat="false" ht="13.8" hidden="false" customHeight="false" outlineLevel="0" collapsed="false">
      <c r="A112" s="7" t="n">
        <v>28915</v>
      </c>
      <c r="B112" s="10" t="n">
        <f aca="false">B111*(1+Returns!F112)</f>
        <v>1.59115707728589</v>
      </c>
      <c r="C112" s="10" t="n">
        <f aca="false">C111*(1+Returns!G112)</f>
        <v>2.03025602473417</v>
      </c>
    </row>
    <row r="113" customFormat="false" ht="13.8" hidden="false" customHeight="false" outlineLevel="0" collapsed="false">
      <c r="A113" s="7" t="n">
        <v>28946</v>
      </c>
      <c r="B113" s="10" t="n">
        <f aca="false">B112*(1+Returns!F113)</f>
        <v>1.59781288734017</v>
      </c>
      <c r="C113" s="10" t="n">
        <f aca="false">C112*(1+Returns!G113)</f>
        <v>2.05204676264764</v>
      </c>
    </row>
    <row r="114" customFormat="false" ht="13.8" hidden="false" customHeight="false" outlineLevel="0" collapsed="false">
      <c r="A114" s="7" t="n">
        <v>28976</v>
      </c>
      <c r="B114" s="10" t="n">
        <f aca="false">B113*(1+Returns!F114)</f>
        <v>1.57094087020089</v>
      </c>
      <c r="C114" s="10" t="n">
        <f aca="false">C113*(1+Returns!G114)</f>
        <v>2.02550969391308</v>
      </c>
    </row>
    <row r="115" customFormat="false" ht="13.8" hidden="false" customHeight="false" outlineLevel="0" collapsed="false">
      <c r="A115" s="7" t="n">
        <v>29007</v>
      </c>
      <c r="B115" s="10" t="n">
        <f aca="false">B114*(1+Returns!F115)</f>
        <v>1.63428748985087</v>
      </c>
      <c r="C115" s="10" t="n">
        <f aca="false">C114*(1+Returns!G115)</f>
        <v>2.13037438178635</v>
      </c>
    </row>
    <row r="116" customFormat="false" ht="13.8" hidden="false" customHeight="false" outlineLevel="0" collapsed="false">
      <c r="A116" s="7" t="n">
        <v>29037</v>
      </c>
      <c r="B116" s="10" t="n">
        <f aca="false">B115*(1+Returns!F116)</f>
        <v>1.65398228839106</v>
      </c>
      <c r="C116" s="10" t="n">
        <f aca="false">C115*(1+Returns!G116)</f>
        <v>2.18858473139428</v>
      </c>
    </row>
    <row r="117" customFormat="false" ht="13.8" hidden="false" customHeight="false" outlineLevel="0" collapsed="false">
      <c r="A117" s="7" t="n">
        <v>29068</v>
      </c>
      <c r="B117" s="10" t="n">
        <f aca="false">B116*(1+Returns!F117)</f>
        <v>1.75630590266237</v>
      </c>
      <c r="C117" s="10" t="n">
        <f aca="false">C116*(1+Returns!G117)</f>
        <v>2.34593740782733</v>
      </c>
    </row>
    <row r="118" customFormat="false" ht="13.8" hidden="false" customHeight="false" outlineLevel="0" collapsed="false">
      <c r="A118" s="7" t="n">
        <v>29099</v>
      </c>
      <c r="B118" s="10" t="n">
        <f aca="false">B117*(1+Returns!F118)</f>
        <v>1.75879283182054</v>
      </c>
      <c r="C118" s="10" t="n">
        <f aca="false">C117*(1+Returns!G118)</f>
        <v>2.34367592416619</v>
      </c>
    </row>
    <row r="119" customFormat="false" ht="13.8" hidden="false" customHeight="false" outlineLevel="0" collapsed="false">
      <c r="A119" s="7" t="n">
        <v>29129</v>
      </c>
      <c r="B119" s="10" t="n">
        <f aca="false">B118*(1+Returns!F119)</f>
        <v>1.64348637376639</v>
      </c>
      <c r="C119" s="10" t="n">
        <f aca="false">C118*(1+Returns!G119)</f>
        <v>2.12936082295674</v>
      </c>
    </row>
    <row r="120" customFormat="false" ht="13.8" hidden="false" customHeight="false" outlineLevel="0" collapsed="false">
      <c r="A120" s="7" t="n">
        <v>29160</v>
      </c>
      <c r="B120" s="10" t="n">
        <f aca="false">B119*(1+Returns!F120)</f>
        <v>1.73022465411466</v>
      </c>
      <c r="C120" s="10" t="n">
        <f aca="false">C119*(1+Returns!G120)</f>
        <v>2.26948767063305</v>
      </c>
    </row>
    <row r="121" customFormat="false" ht="13.8" hidden="false" customHeight="false" outlineLevel="0" collapsed="false">
      <c r="A121" s="7" t="n">
        <v>29190</v>
      </c>
      <c r="B121" s="10" t="n">
        <f aca="false">B120*(1+Returns!F121)</f>
        <v>1.76195870449578</v>
      </c>
      <c r="C121" s="10" t="n">
        <f aca="false">C120*(1+Returns!G121)</f>
        <v>2.36106603711844</v>
      </c>
    </row>
    <row r="122" customFormat="false" ht="13.8" hidden="false" customHeight="false" outlineLevel="0" collapsed="false">
      <c r="A122" s="7" t="n">
        <v>29221</v>
      </c>
      <c r="B122" s="10" t="n">
        <f aca="false">B121*(1+Returns!F122)</f>
        <v>1.869980868751</v>
      </c>
      <c r="C122" s="10" t="n">
        <f aca="false">C121*(1+Returns!G122)</f>
        <v>2.49984005451611</v>
      </c>
    </row>
    <row r="123" customFormat="false" ht="13.8" hidden="false" customHeight="false" outlineLevel="0" collapsed="false">
      <c r="A123" s="7" t="n">
        <v>29252</v>
      </c>
      <c r="B123" s="10" t="n">
        <f aca="false">B122*(1+Returns!F123)</f>
        <v>1.87486338879931</v>
      </c>
      <c r="C123" s="10" t="n">
        <f aca="false">C122*(1+Returns!G123)</f>
        <v>2.4207626140716</v>
      </c>
    </row>
    <row r="124" customFormat="false" ht="13.8" hidden="false" customHeight="false" outlineLevel="0" collapsed="false">
      <c r="A124" s="7" t="n">
        <v>29281</v>
      </c>
      <c r="B124" s="10" t="n">
        <f aca="false">B123*(1+Returns!F124)</f>
        <v>1.69203046085038</v>
      </c>
      <c r="C124" s="10" t="n">
        <f aca="false">C123*(1+Returns!G124)</f>
        <v>2.16484927356241</v>
      </c>
    </row>
    <row r="125" customFormat="false" ht="13.8" hidden="false" customHeight="false" outlineLevel="0" collapsed="false">
      <c r="A125" s="7" t="n">
        <v>29312</v>
      </c>
      <c r="B125" s="10" t="n">
        <f aca="false">B124*(1+Returns!F125)</f>
        <v>1.76376240020767</v>
      </c>
      <c r="C125" s="10" t="n">
        <f aca="false">C124*(1+Returns!G125)</f>
        <v>2.26430028434059</v>
      </c>
    </row>
    <row r="126" customFormat="false" ht="13.8" hidden="false" customHeight="false" outlineLevel="0" collapsed="false">
      <c r="A126" s="7" t="n">
        <v>29342</v>
      </c>
      <c r="B126" s="10" t="n">
        <f aca="false">B125*(1+Returns!F126)</f>
        <v>1.86175703916321</v>
      </c>
      <c r="C126" s="10" t="n">
        <f aca="false">C125*(1+Returns!G126)</f>
        <v>2.44860527028478</v>
      </c>
    </row>
    <row r="127" customFormat="false" ht="13.8" hidden="false" customHeight="false" outlineLevel="0" collapsed="false">
      <c r="A127" s="7" t="n">
        <v>29373</v>
      </c>
      <c r="B127" s="10" t="n">
        <f aca="false">B126*(1+Returns!F127)</f>
        <v>1.91709218188122</v>
      </c>
      <c r="C127" s="10" t="n">
        <f aca="false">C126*(1+Returns!G127)</f>
        <v>2.5287481207812</v>
      </c>
    </row>
    <row r="128" customFormat="false" ht="13.8" hidden="false" customHeight="false" outlineLevel="0" collapsed="false">
      <c r="A128" s="7" t="n">
        <v>29403</v>
      </c>
      <c r="B128" s="10" t="n">
        <f aca="false">B127*(1+Returns!F128)</f>
        <v>2.04783786868552</v>
      </c>
      <c r="C128" s="10" t="n">
        <f aca="false">C127*(1+Returns!G128)</f>
        <v>2.7604724835771</v>
      </c>
    </row>
    <row r="129" customFormat="false" ht="13.8" hidden="false" customHeight="false" outlineLevel="0" collapsed="false">
      <c r="A129" s="7" t="n">
        <v>29434</v>
      </c>
      <c r="B129" s="10" t="n">
        <f aca="false">B128*(1+Returns!F129)</f>
        <v>2.07538947937081</v>
      </c>
      <c r="C129" s="10" t="n">
        <f aca="false">C128*(1+Returns!G129)</f>
        <v>2.83473195385781</v>
      </c>
    </row>
    <row r="130" customFormat="false" ht="13.8" hidden="false" customHeight="false" outlineLevel="0" collapsed="false">
      <c r="A130" s="7" t="n">
        <v>29465</v>
      </c>
      <c r="B130" s="10" t="n">
        <f aca="false">B129*(1+Returns!F130)</f>
        <v>2.13336548447704</v>
      </c>
      <c r="C130" s="10" t="n">
        <f aca="false">C129*(1+Returns!G130)</f>
        <v>2.91580528773814</v>
      </c>
    </row>
    <row r="131" customFormat="false" ht="13.8" hidden="false" customHeight="false" outlineLevel="0" collapsed="false">
      <c r="A131" s="7" t="n">
        <v>29495</v>
      </c>
      <c r="B131" s="10" t="n">
        <f aca="false">B130*(1+Returns!F131)</f>
        <v>2.17135859039009</v>
      </c>
      <c r="C131" s="10" t="n">
        <f aca="false">C130*(1+Returns!G131)</f>
        <v>2.94201837727491</v>
      </c>
    </row>
    <row r="132" customFormat="false" ht="13.8" hidden="false" customHeight="false" outlineLevel="0" collapsed="false">
      <c r="A132" s="7" t="n">
        <v>29526</v>
      </c>
      <c r="B132" s="10" t="n">
        <f aca="false">B131*(1+Returns!F132)</f>
        <v>2.41001261305986</v>
      </c>
      <c r="C132" s="10" t="n">
        <f aca="false">C131*(1+Returns!G132)</f>
        <v>3.13232577802732</v>
      </c>
    </row>
    <row r="133" customFormat="false" ht="13.8" hidden="false" customHeight="false" outlineLevel="0" collapsed="false">
      <c r="A133" s="7" t="n">
        <v>29556</v>
      </c>
      <c r="B133" s="10" t="n">
        <f aca="false">B132*(1+Returns!F133)</f>
        <v>2.33618428667139</v>
      </c>
      <c r="C133" s="10" t="n">
        <f aca="false">C132*(1+Returns!G133)</f>
        <v>3.09762587305833</v>
      </c>
    </row>
    <row r="134" customFormat="false" ht="13.8" hidden="false" customHeight="false" outlineLevel="0" collapsed="false">
      <c r="A134" s="7" t="n">
        <v>29587</v>
      </c>
      <c r="B134" s="10" t="n">
        <f aca="false">B133*(1+Returns!F134)</f>
        <v>2.23486397415845</v>
      </c>
      <c r="C134" s="10" t="n">
        <f aca="false">C133*(1+Returns!G134)</f>
        <v>3.06242445263689</v>
      </c>
    </row>
    <row r="135" customFormat="false" ht="13.8" hidden="false" customHeight="false" outlineLevel="0" collapsed="false">
      <c r="A135" s="7" t="n">
        <v>29618</v>
      </c>
      <c r="B135" s="10" t="n">
        <f aca="false">B134*(1+Returns!F135)</f>
        <v>2.28239282629688</v>
      </c>
      <c r="C135" s="10" t="n">
        <f aca="false">C134*(1+Returns!G135)</f>
        <v>3.14876032280563</v>
      </c>
    </row>
    <row r="136" customFormat="false" ht="13.8" hidden="false" customHeight="false" outlineLevel="0" collapsed="false">
      <c r="A136" s="7" t="n">
        <v>29646</v>
      </c>
      <c r="B136" s="10" t="n">
        <f aca="false">B135*(1+Returns!F136)</f>
        <v>2.36977423565165</v>
      </c>
      <c r="C136" s="10" t="n">
        <f aca="false">C135*(1+Returns!G136)</f>
        <v>3.40706572712667</v>
      </c>
    </row>
    <row r="137" customFormat="false" ht="13.8" hidden="false" customHeight="false" outlineLevel="0" collapsed="false">
      <c r="A137" s="7" t="n">
        <v>29677</v>
      </c>
      <c r="B137" s="10" t="n">
        <f aca="false">B136*(1+Returns!F137)</f>
        <v>2.3218787285749</v>
      </c>
      <c r="C137" s="10" t="n">
        <f aca="false">C136*(1+Returns!G137)</f>
        <v>3.4093177975723</v>
      </c>
    </row>
    <row r="138" customFormat="false" ht="13.8" hidden="false" customHeight="false" outlineLevel="0" collapsed="false">
      <c r="A138" s="7" t="n">
        <v>29707</v>
      </c>
      <c r="B138" s="10" t="n">
        <f aca="false">B137*(1+Returns!F138)</f>
        <v>2.33706149358105</v>
      </c>
      <c r="C138" s="10" t="n">
        <f aca="false">C137*(1+Returns!G138)</f>
        <v>3.46745007533871</v>
      </c>
    </row>
    <row r="139" customFormat="false" ht="13.8" hidden="false" customHeight="false" outlineLevel="0" collapsed="false">
      <c r="A139" s="7" t="n">
        <v>29738</v>
      </c>
      <c r="B139" s="10" t="n">
        <f aca="false">B138*(1+Returns!F139)</f>
        <v>2.31776905095154</v>
      </c>
      <c r="C139" s="10" t="n">
        <f aca="false">C138*(1+Returns!G139)</f>
        <v>3.43708561502897</v>
      </c>
    </row>
    <row r="140" customFormat="false" ht="13.8" hidden="false" customHeight="false" outlineLevel="0" collapsed="false">
      <c r="A140" s="7" t="n">
        <v>29768</v>
      </c>
      <c r="B140" s="10" t="n">
        <f aca="false">B139*(1+Returns!F140)</f>
        <v>2.31942393805392</v>
      </c>
      <c r="C140" s="10" t="n">
        <f aca="false">C139*(1+Returns!G140)</f>
        <v>3.37653104066338</v>
      </c>
    </row>
    <row r="141" customFormat="false" ht="13.8" hidden="false" customHeight="false" outlineLevel="0" collapsed="false">
      <c r="A141" s="7" t="n">
        <v>29799</v>
      </c>
      <c r="B141" s="10" t="n">
        <f aca="false">B140*(1+Returns!F141)</f>
        <v>2.1906031325344</v>
      </c>
      <c r="C141" s="10" t="n">
        <f aca="false">C140*(1+Returns!G141)</f>
        <v>3.16526486998012</v>
      </c>
    </row>
    <row r="142" customFormat="false" ht="13.8" hidden="false" customHeight="false" outlineLevel="0" collapsed="false">
      <c r="A142" s="7" t="n">
        <v>29830</v>
      </c>
      <c r="B142" s="10" t="n">
        <f aca="false">B141*(1+Returns!F142)</f>
        <v>2.08005215484792</v>
      </c>
      <c r="C142" s="10" t="n">
        <f aca="false">C141*(1+Returns!G142)</f>
        <v>3.00263356096054</v>
      </c>
    </row>
    <row r="143" customFormat="false" ht="13.8" hidden="false" customHeight="false" outlineLevel="0" collapsed="false">
      <c r="A143" s="7" t="n">
        <v>29860</v>
      </c>
      <c r="B143" s="10" t="n">
        <f aca="false">B142*(1+Returns!F143)</f>
        <v>2.18845407289782</v>
      </c>
      <c r="C143" s="10" t="n">
        <f aca="false">C142*(1+Returns!G143)</f>
        <v>3.17915238274229</v>
      </c>
    </row>
    <row r="144" customFormat="false" ht="13.8" hidden="false" customHeight="false" outlineLevel="0" collapsed="false">
      <c r="A144" s="7" t="n">
        <v>29891</v>
      </c>
      <c r="B144" s="10" t="n">
        <f aca="false">B143*(1+Returns!F144)</f>
        <v>2.28436744955071</v>
      </c>
      <c r="C144" s="10" t="n">
        <f aca="false">C143*(1+Returns!G144)</f>
        <v>3.31375133632283</v>
      </c>
    </row>
    <row r="145" customFormat="false" ht="13.8" hidden="false" customHeight="false" outlineLevel="0" collapsed="false">
      <c r="A145" s="7" t="n">
        <v>29921</v>
      </c>
      <c r="B145" s="10" t="n">
        <f aca="false">B144*(1+Returns!F145)</f>
        <v>2.22255475073332</v>
      </c>
      <c r="C145" s="10" t="n">
        <f aca="false">C144*(1+Returns!G145)</f>
        <v>3.24817551112834</v>
      </c>
    </row>
    <row r="146" customFormat="false" ht="13.8" hidden="false" customHeight="false" outlineLevel="0" collapsed="false">
      <c r="A146" s="7" t="n">
        <v>29952</v>
      </c>
      <c r="B146" s="10" t="n">
        <f aca="false">B145*(1+Returns!F146)</f>
        <v>2.1884007518788</v>
      </c>
      <c r="C146" s="10" t="n">
        <f aca="false">C145*(1+Returns!G146)</f>
        <v>3.18467692806129</v>
      </c>
    </row>
    <row r="147" customFormat="false" ht="13.8" hidden="false" customHeight="false" outlineLevel="0" collapsed="false">
      <c r="A147" s="7" t="n">
        <v>29983</v>
      </c>
      <c r="B147" s="10" t="n">
        <f aca="false">B146*(1+Returns!F147)</f>
        <v>2.07801562955328</v>
      </c>
      <c r="C147" s="10" t="n">
        <f aca="false">C146*(1+Returns!G147)</f>
        <v>3.06804768960183</v>
      </c>
    </row>
    <row r="148" customFormat="false" ht="13.8" hidden="false" customHeight="false" outlineLevel="0" collapsed="false">
      <c r="A148" s="7" t="n">
        <v>30011</v>
      </c>
      <c r="B148" s="10" t="n">
        <f aca="false">B147*(1+Returns!F148)</f>
        <v>2.06387473319417</v>
      </c>
      <c r="C148" s="10" t="n">
        <f aca="false">C147*(1+Returns!G148)</f>
        <v>3.058082670706</v>
      </c>
    </row>
    <row r="149" customFormat="false" ht="13.8" hidden="false" customHeight="false" outlineLevel="0" collapsed="false">
      <c r="A149" s="7" t="n">
        <v>30042</v>
      </c>
      <c r="B149" s="10" t="n">
        <f aca="false">B148*(1+Returns!F149)</f>
        <v>2.14962872835839</v>
      </c>
      <c r="C149" s="10" t="n">
        <f aca="false">C148*(1+Returns!G149)</f>
        <v>3.20369327707167</v>
      </c>
    </row>
    <row r="150" customFormat="false" ht="13.8" hidden="false" customHeight="false" outlineLevel="0" collapsed="false">
      <c r="A150" s="7" t="n">
        <v>30072</v>
      </c>
      <c r="B150" s="10" t="n">
        <f aca="false">B149*(1+Returns!F150)</f>
        <v>2.08620393272818</v>
      </c>
      <c r="C150" s="10" t="n">
        <f aca="false">C149*(1+Returns!G150)</f>
        <v>3.06282047629227</v>
      </c>
    </row>
    <row r="151" customFormat="false" ht="13.8" hidden="false" customHeight="false" outlineLevel="0" collapsed="false">
      <c r="A151" s="7" t="n">
        <v>30103</v>
      </c>
      <c r="B151" s="10" t="n">
        <f aca="false">B150*(1+Returns!F151)</f>
        <v>2.05328363466972</v>
      </c>
      <c r="C151" s="10" t="n">
        <f aca="false">C150*(1+Returns!G151)</f>
        <v>3.04069159835106</v>
      </c>
    </row>
    <row r="152" customFormat="false" ht="13.8" hidden="false" customHeight="false" outlineLevel="0" collapsed="false">
      <c r="A152" s="7" t="n">
        <v>30133</v>
      </c>
      <c r="B152" s="10" t="n">
        <f aca="false">B151*(1+Returns!F152)</f>
        <v>2.01180935853303</v>
      </c>
      <c r="C152" s="10" t="n">
        <f aca="false">C151*(1+Returns!G152)</f>
        <v>2.99478323659916</v>
      </c>
    </row>
    <row r="153" customFormat="false" ht="13.8" hidden="false" customHeight="false" outlineLevel="0" collapsed="false">
      <c r="A153" s="7" t="n">
        <v>30164</v>
      </c>
      <c r="B153" s="10" t="n">
        <f aca="false">B152*(1+Returns!F153)</f>
        <v>2.26811789442886</v>
      </c>
      <c r="C153" s="10" t="n">
        <f aca="false">C152*(1+Returns!G153)</f>
        <v>3.38209256302205</v>
      </c>
    </row>
    <row r="154" customFormat="false" ht="13.8" hidden="false" customHeight="false" outlineLevel="0" collapsed="false">
      <c r="A154" s="7" t="n">
        <v>30195</v>
      </c>
      <c r="B154" s="10" t="n">
        <f aca="false">B153*(1+Returns!F154)</f>
        <v>2.29192405984878</v>
      </c>
      <c r="C154" s="10" t="n">
        <f aca="false">C153*(1+Returns!G154)</f>
        <v>3.43713611948524</v>
      </c>
    </row>
    <row r="155" customFormat="false" ht="13.8" hidden="false" customHeight="false" outlineLevel="0" collapsed="false">
      <c r="A155" s="7" t="n">
        <v>30225</v>
      </c>
      <c r="B155" s="10" t="n">
        <f aca="false">B154*(1+Returns!F155)</f>
        <v>2.55288940907534</v>
      </c>
      <c r="C155" s="10" t="n">
        <f aca="false">C154*(1+Returns!G155)</f>
        <v>3.93180187552931</v>
      </c>
    </row>
    <row r="156" customFormat="false" ht="13.8" hidden="false" customHeight="false" outlineLevel="0" collapsed="false">
      <c r="A156" s="7" t="n">
        <v>30256</v>
      </c>
      <c r="B156" s="10" t="n">
        <f aca="false">B155*(1+Returns!F156)</f>
        <v>2.66969431109818</v>
      </c>
      <c r="C156" s="10" t="n">
        <f aca="false">C155*(1+Returns!G156)</f>
        <v>4.16794982797548</v>
      </c>
    </row>
    <row r="157" customFormat="false" ht="13.8" hidden="false" customHeight="false" outlineLevel="0" collapsed="false">
      <c r="A157" s="7" t="n">
        <v>30286</v>
      </c>
      <c r="B157" s="10" t="n">
        <f aca="false">B156*(1+Returns!F157)</f>
        <v>2.71463861482552</v>
      </c>
      <c r="C157" s="10" t="n">
        <f aca="false">C156*(1+Returns!G157)</f>
        <v>4.23243634771391</v>
      </c>
    </row>
    <row r="158" customFormat="false" ht="13.8" hidden="false" customHeight="false" outlineLevel="0" collapsed="false">
      <c r="A158" s="7" t="n">
        <v>30317</v>
      </c>
      <c r="B158" s="10" t="n">
        <f aca="false">B157*(1+Returns!F158)</f>
        <v>2.81044635545855</v>
      </c>
      <c r="C158" s="10" t="n">
        <f aca="false">C157*(1+Returns!G158)</f>
        <v>4.381680518207</v>
      </c>
    </row>
    <row r="159" customFormat="false" ht="13.8" hidden="false" customHeight="false" outlineLevel="0" collapsed="false">
      <c r="A159" s="7" t="n">
        <v>30348</v>
      </c>
      <c r="B159" s="10" t="n">
        <f aca="false">B158*(1+Returns!F159)</f>
        <v>2.88276757152357</v>
      </c>
      <c r="C159" s="10" t="n">
        <f aca="false">C158*(1+Returns!G159)</f>
        <v>4.56129436600934</v>
      </c>
    </row>
    <row r="160" customFormat="false" ht="13.8" hidden="false" customHeight="false" outlineLevel="0" collapsed="false">
      <c r="A160" s="7" t="n">
        <v>30376</v>
      </c>
      <c r="B160" s="10" t="n">
        <f aca="false">B159*(1+Returns!F160)</f>
        <v>2.98501933728551</v>
      </c>
      <c r="C160" s="10" t="n">
        <f aca="false">C159*(1+Returns!G160)</f>
        <v>4.79585436748701</v>
      </c>
    </row>
    <row r="161" customFormat="false" ht="13.8" hidden="false" customHeight="false" outlineLevel="0" collapsed="false">
      <c r="A161" s="7" t="n">
        <v>30407</v>
      </c>
      <c r="B161" s="10" t="n">
        <f aca="false">B160*(1+Returns!F161)</f>
        <v>3.21104201648543</v>
      </c>
      <c r="C161" s="10" t="n">
        <f aca="false">C160*(1+Returns!G161)</f>
        <v>5.12547823401876</v>
      </c>
    </row>
    <row r="162" customFormat="false" ht="13.8" hidden="false" customHeight="false" outlineLevel="0" collapsed="false">
      <c r="A162" s="7" t="n">
        <v>30437</v>
      </c>
      <c r="B162" s="10" t="n">
        <f aca="false">B161*(1+Returns!F162)</f>
        <v>3.19278082053768</v>
      </c>
      <c r="C162" s="10" t="n">
        <f aca="false">C161*(1+Returns!G162)</f>
        <v>5.25765406671763</v>
      </c>
    </row>
    <row r="163" customFormat="false" ht="13.8" hidden="false" customHeight="false" outlineLevel="0" collapsed="false">
      <c r="A163" s="7" t="n">
        <v>30468</v>
      </c>
      <c r="B163" s="10" t="n">
        <f aca="false">B162*(1+Returns!F163)</f>
        <v>3.31081792747295</v>
      </c>
      <c r="C163" s="10" t="n">
        <f aca="false">C162*(1+Returns!G163)</f>
        <v>5.42396943781011</v>
      </c>
    </row>
    <row r="164" customFormat="false" ht="13.8" hidden="false" customHeight="false" outlineLevel="0" collapsed="false">
      <c r="A164" s="7" t="n">
        <v>30498</v>
      </c>
      <c r="B164" s="10" t="n">
        <f aca="false">B163*(1+Returns!F164)</f>
        <v>3.20739459705455</v>
      </c>
      <c r="C164" s="10" t="n">
        <f aca="false">C163*(1+Returns!G164)</f>
        <v>5.2801854319832</v>
      </c>
    </row>
    <row r="165" customFormat="false" ht="13.8" hidden="false" customHeight="false" outlineLevel="0" collapsed="false">
      <c r="A165" s="7" t="n">
        <v>30529</v>
      </c>
      <c r="B165" s="10" t="n">
        <f aca="false">B164*(1+Returns!F165)</f>
        <v>3.25827670494223</v>
      </c>
      <c r="C165" s="10" t="n">
        <f aca="false">C164*(1+Returns!G165)</f>
        <v>5.30406243050663</v>
      </c>
    </row>
    <row r="166" customFormat="false" ht="13.8" hidden="false" customHeight="false" outlineLevel="0" collapsed="false">
      <c r="A166" s="7" t="n">
        <v>30560</v>
      </c>
      <c r="B166" s="10" t="n">
        <f aca="false">B165*(1+Returns!F166)</f>
        <v>3.30423469786544</v>
      </c>
      <c r="C166" s="10" t="n">
        <f aca="false">C165*(1+Returns!G166)</f>
        <v>5.44201579026168</v>
      </c>
    </row>
    <row r="167" customFormat="false" ht="13.8" hidden="false" customHeight="false" outlineLevel="0" collapsed="false">
      <c r="A167" s="7" t="n">
        <v>30590</v>
      </c>
      <c r="B167" s="10" t="n">
        <f aca="false">B166*(1+Returns!F167)</f>
        <v>3.26092278944582</v>
      </c>
      <c r="C167" s="10" t="n">
        <f aca="false">C166*(1+Returns!G167)</f>
        <v>5.33961882115211</v>
      </c>
    </row>
    <row r="168" customFormat="false" ht="13.8" hidden="false" customHeight="false" outlineLevel="0" collapsed="false">
      <c r="A168" s="7" t="n">
        <v>30621</v>
      </c>
      <c r="B168" s="10" t="n">
        <f aca="false">B167*(1+Returns!F168)</f>
        <v>3.33868275428294</v>
      </c>
      <c r="C168" s="10" t="n">
        <f aca="false">C167*(1+Returns!G168)</f>
        <v>5.59148864094586</v>
      </c>
    </row>
    <row r="169" customFormat="false" ht="13.8" hidden="false" customHeight="false" outlineLevel="0" collapsed="false">
      <c r="A169" s="7" t="n">
        <v>30651</v>
      </c>
      <c r="B169" s="10" t="n">
        <f aca="false">B168*(1+Returns!F169)</f>
        <v>3.31948866712857</v>
      </c>
      <c r="C169" s="10" t="n">
        <f aca="false">C168*(1+Returns!G169)</f>
        <v>5.54322850248586</v>
      </c>
    </row>
    <row r="170" customFormat="false" ht="13.8" hidden="false" customHeight="false" outlineLevel="0" collapsed="false">
      <c r="A170" s="7" t="n">
        <v>30682</v>
      </c>
      <c r="B170" s="10" t="n">
        <f aca="false">B169*(1+Returns!F170)</f>
        <v>3.3065493003041</v>
      </c>
      <c r="C170" s="10" t="n">
        <f aca="false">C169*(1+Returns!G170)</f>
        <v>5.46613328047328</v>
      </c>
    </row>
    <row r="171" customFormat="false" ht="13.8" hidden="false" customHeight="false" outlineLevel="0" collapsed="false">
      <c r="A171" s="7" t="n">
        <v>30713</v>
      </c>
      <c r="B171" s="10" t="n">
        <f aca="false">B170*(1+Returns!F171)</f>
        <v>3.19401420141755</v>
      </c>
      <c r="C171" s="10" t="n">
        <f aca="false">C170*(1+Returns!G171)</f>
        <v>5.20695110484636</v>
      </c>
    </row>
    <row r="172" customFormat="false" ht="13.8" hidden="false" customHeight="false" outlineLevel="0" collapsed="false">
      <c r="A172" s="7" t="n">
        <v>30742</v>
      </c>
      <c r="B172" s="10" t="n">
        <f aca="false">B171*(1+Returns!F172)</f>
        <v>3.24925467703107</v>
      </c>
      <c r="C172" s="10" t="n">
        <f aca="false">C171*(1+Returns!G172)</f>
        <v>5.32423247153192</v>
      </c>
    </row>
    <row r="173" customFormat="false" ht="13.8" hidden="false" customHeight="false" outlineLevel="0" collapsed="false">
      <c r="A173" s="7" t="n">
        <v>30773</v>
      </c>
      <c r="B173" s="10" t="n">
        <f aca="false">B172*(1+Returns!F173)</f>
        <v>3.27128787299602</v>
      </c>
      <c r="C173" s="10" t="n">
        <f aca="false">C172*(1+Returns!G173)</f>
        <v>5.27645813356486</v>
      </c>
    </row>
    <row r="174" customFormat="false" ht="13.8" hidden="false" customHeight="false" outlineLevel="0" collapsed="false">
      <c r="A174" s="7" t="n">
        <v>30803</v>
      </c>
      <c r="B174" s="10" t="n">
        <f aca="false">B173*(1+Returns!F174)</f>
        <v>3.09748107701587</v>
      </c>
      <c r="C174" s="10" t="n">
        <f aca="false">C173*(1+Returns!G174)</f>
        <v>4.96625515989259</v>
      </c>
    </row>
    <row r="175" customFormat="false" ht="13.8" hidden="false" customHeight="false" outlineLevel="0" collapsed="false">
      <c r="A175" s="7" t="n">
        <v>30834</v>
      </c>
      <c r="B175" s="10" t="n">
        <f aca="false">B174*(1+Returns!F175)</f>
        <v>3.16852800047938</v>
      </c>
      <c r="C175" s="10" t="n">
        <f aca="false">C174*(1+Returns!G175)</f>
        <v>5.12300507150428</v>
      </c>
    </row>
    <row r="176" customFormat="false" ht="13.8" hidden="false" customHeight="false" outlineLevel="0" collapsed="false">
      <c r="A176" s="7" t="n">
        <v>30864</v>
      </c>
      <c r="B176" s="10" t="n">
        <f aca="false">B175*(1+Returns!F176)</f>
        <v>3.12491321255278</v>
      </c>
      <c r="C176" s="10" t="n">
        <f aca="false">C175*(1+Returns!G176)</f>
        <v>4.97217355618905</v>
      </c>
    </row>
    <row r="177" customFormat="false" ht="13.8" hidden="false" customHeight="false" outlineLevel="0" collapsed="false">
      <c r="A177" s="7" t="n">
        <v>30895</v>
      </c>
      <c r="B177" s="10" t="n">
        <f aca="false">B176*(1+Returns!F177)</f>
        <v>3.47627220434579</v>
      </c>
      <c r="C177" s="10" t="n">
        <f aca="false">C176*(1+Returns!G177)</f>
        <v>5.60988464781163</v>
      </c>
    </row>
    <row r="178" customFormat="false" ht="13.8" hidden="false" customHeight="false" outlineLevel="0" collapsed="false">
      <c r="A178" s="7" t="n">
        <v>30926</v>
      </c>
      <c r="B178" s="10" t="n">
        <f aca="false">B177*(1+Returns!F178)</f>
        <v>3.47604972292471</v>
      </c>
      <c r="C178" s="10" t="n">
        <f aca="false">C177*(1+Returns!G178)</f>
        <v>5.62946314523249</v>
      </c>
    </row>
    <row r="179" customFormat="false" ht="13.8" hidden="false" customHeight="false" outlineLevel="0" collapsed="false">
      <c r="A179" s="7" t="n">
        <v>30956</v>
      </c>
      <c r="B179" s="10" t="n">
        <f aca="false">B178*(1+Returns!F179)</f>
        <v>3.48762844455177</v>
      </c>
      <c r="C179" s="10" t="n">
        <f aca="false">C178*(1+Returns!G179)</f>
        <v>5.63289711775108</v>
      </c>
    </row>
    <row r="180" customFormat="false" ht="13.8" hidden="false" customHeight="false" outlineLevel="0" collapsed="false">
      <c r="A180" s="7" t="n">
        <v>30987</v>
      </c>
      <c r="B180" s="10" t="n">
        <f aca="false">B179*(1+Returns!F180)</f>
        <v>3.45330669302894</v>
      </c>
      <c r="C180" s="10" t="n">
        <f aca="false">C179*(1+Returns!G180)</f>
        <v>5.61590830004395</v>
      </c>
    </row>
    <row r="181" customFormat="false" ht="13.8" hidden="false" customHeight="false" outlineLevel="0" collapsed="false">
      <c r="A181" s="7" t="n">
        <v>31017</v>
      </c>
      <c r="B181" s="10" t="n">
        <f aca="false">B180*(1+Returns!F181)</f>
        <v>3.54155939887599</v>
      </c>
      <c r="C181" s="10" t="n">
        <f aca="false">C180*(1+Returns!G181)</f>
        <v>5.75473916912933</v>
      </c>
    </row>
    <row r="182" customFormat="false" ht="13.8" hidden="false" customHeight="false" outlineLevel="0" collapsed="false">
      <c r="A182" s="7" t="n">
        <v>31048</v>
      </c>
      <c r="B182" s="10" t="n">
        <f aca="false">B181*(1+Returns!F182)</f>
        <v>3.81379198674879</v>
      </c>
      <c r="C182" s="10" t="n">
        <f aca="false">C181*(1+Returns!G182)</f>
        <v>6.29982806322926</v>
      </c>
    </row>
    <row r="183" customFormat="false" ht="13.8" hidden="false" customHeight="false" outlineLevel="0" collapsed="false">
      <c r="A183" s="7" t="n">
        <v>31079</v>
      </c>
      <c r="B183" s="10" t="n">
        <f aca="false">B182*(1+Returns!F183)</f>
        <v>3.86781816403307</v>
      </c>
      <c r="C183" s="10" t="n">
        <f aca="false">C182*(1+Returns!G183)</f>
        <v>6.36150337996828</v>
      </c>
    </row>
    <row r="184" customFormat="false" ht="13.8" hidden="false" customHeight="false" outlineLevel="0" collapsed="false">
      <c r="A184" s="7" t="n">
        <v>31107</v>
      </c>
      <c r="B184" s="10" t="n">
        <f aca="false">B183*(1+Returns!F184)</f>
        <v>3.86535823168074</v>
      </c>
      <c r="C184" s="10" t="n">
        <f aca="false">C183*(1+Returns!G184)</f>
        <v>6.33864649832405</v>
      </c>
    </row>
    <row r="185" customFormat="false" ht="13.8" hidden="false" customHeight="false" outlineLevel="0" collapsed="false">
      <c r="A185" s="7" t="n">
        <v>31138</v>
      </c>
      <c r="B185" s="10" t="n">
        <f aca="false">B184*(1+Returns!F185)</f>
        <v>3.8510409447906</v>
      </c>
      <c r="C185" s="10" t="n">
        <f aca="false">C184*(1+Returns!G185)</f>
        <v>6.26497241007403</v>
      </c>
    </row>
    <row r="186" customFormat="false" ht="13.8" hidden="false" customHeight="false" outlineLevel="0" collapsed="false">
      <c r="A186" s="7" t="n">
        <v>31168</v>
      </c>
      <c r="B186" s="10" t="n">
        <f aca="false">B185*(1+Returns!F186)</f>
        <v>4.09265525366676</v>
      </c>
      <c r="C186" s="10" t="n">
        <f aca="false">C185*(1+Returns!G186)</f>
        <v>6.68281474496392</v>
      </c>
    </row>
    <row r="187" customFormat="false" ht="13.8" hidden="false" customHeight="false" outlineLevel="0" collapsed="false">
      <c r="A187" s="7" t="n">
        <v>31199</v>
      </c>
      <c r="B187" s="10" t="n">
        <f aca="false">B186*(1+Returns!F187)</f>
        <v>4.15840376031692</v>
      </c>
      <c r="C187" s="10" t="n">
        <f aca="false">C186*(1+Returns!G187)</f>
        <v>6.77974229002487</v>
      </c>
    </row>
    <row r="188" customFormat="false" ht="13.8" hidden="false" customHeight="false" outlineLevel="0" collapsed="false">
      <c r="A188" s="7" t="n">
        <v>31229</v>
      </c>
      <c r="B188" s="10" t="n">
        <f aca="false">B187*(1+Returns!F188)</f>
        <v>4.14459370142891</v>
      </c>
      <c r="C188" s="10" t="n">
        <f aca="false">C187*(1+Returns!G188)</f>
        <v>6.84240744801157</v>
      </c>
    </row>
    <row r="189" customFormat="false" ht="13.8" hidden="false" customHeight="false" outlineLevel="0" collapsed="false">
      <c r="A189" s="7" t="n">
        <v>31260</v>
      </c>
      <c r="B189" s="10" t="n">
        <f aca="false">B188*(1+Returns!F189)</f>
        <v>4.11776574639956</v>
      </c>
      <c r="C189" s="10" t="n">
        <f aca="false">C188*(1+Returns!G189)</f>
        <v>6.78506123118979</v>
      </c>
    </row>
    <row r="190" customFormat="false" ht="13.8" hidden="false" customHeight="false" outlineLevel="0" collapsed="false">
      <c r="A190" s="7" t="n">
        <v>31291</v>
      </c>
      <c r="B190" s="10" t="n">
        <f aca="false">B189*(1+Returns!F190)</f>
        <v>3.98085827086326</v>
      </c>
      <c r="C190" s="10" t="n">
        <f aca="false">C189*(1+Returns!G190)</f>
        <v>6.47974026084748</v>
      </c>
    </row>
    <row r="191" customFormat="false" ht="13.8" hidden="false" customHeight="false" outlineLevel="0" collapsed="false">
      <c r="A191" s="7" t="n">
        <v>31321</v>
      </c>
      <c r="B191" s="10" t="n">
        <f aca="false">B190*(1+Returns!F191)</f>
        <v>4.16031138085551</v>
      </c>
      <c r="C191" s="10" t="n">
        <f aca="false">C190*(1+Returns!G191)</f>
        <v>6.75558928349202</v>
      </c>
    </row>
    <row r="192" customFormat="false" ht="13.8" hidden="false" customHeight="false" outlineLevel="0" collapsed="false">
      <c r="A192" s="7" t="n">
        <v>31352</v>
      </c>
      <c r="B192" s="10" t="n">
        <f aca="false">B191*(1+Returns!F192)</f>
        <v>4.45938368509107</v>
      </c>
      <c r="C192" s="10" t="n">
        <f aca="false">C191*(1+Returns!G192)</f>
        <v>7.25818485941597</v>
      </c>
    </row>
    <row r="193" customFormat="false" ht="13.8" hidden="false" customHeight="false" outlineLevel="0" collapsed="false">
      <c r="A193" s="7" t="n">
        <v>31382</v>
      </c>
      <c r="B193" s="10" t="n">
        <f aca="false">B192*(1+Returns!F193)</f>
        <v>4.67412976583032</v>
      </c>
      <c r="C193" s="10" t="n">
        <f aca="false">C192*(1+Returns!G193)</f>
        <v>7.57416993727065</v>
      </c>
    </row>
    <row r="194" customFormat="false" ht="13.8" hidden="false" customHeight="false" outlineLevel="0" collapsed="false">
      <c r="A194" s="7" t="n">
        <v>31413</v>
      </c>
      <c r="B194" s="10" t="n">
        <f aca="false">B193*(1+Returns!F194)</f>
        <v>4.69612622050831</v>
      </c>
      <c r="C194" s="10" t="n">
        <f aca="false">C193*(1+Returns!G194)</f>
        <v>7.70203707415165</v>
      </c>
    </row>
    <row r="195" customFormat="false" ht="13.8" hidden="false" customHeight="false" outlineLevel="0" collapsed="false">
      <c r="A195" s="7" t="n">
        <v>31444</v>
      </c>
      <c r="B195" s="10" t="n">
        <f aca="false">B194*(1+Returns!F195)</f>
        <v>5.05549727953271</v>
      </c>
      <c r="C195" s="10" t="n">
        <f aca="false">C194*(1+Returns!G195)</f>
        <v>8.32564020789742</v>
      </c>
    </row>
    <row r="196" customFormat="false" ht="13.8" hidden="false" customHeight="false" outlineLevel="0" collapsed="false">
      <c r="A196" s="7" t="n">
        <v>31472</v>
      </c>
      <c r="B196" s="10" t="n">
        <f aca="false">B195*(1+Returns!F196)</f>
        <v>5.33775580364358</v>
      </c>
      <c r="C196" s="10" t="n">
        <f aca="false">C195*(1+Returns!G196)</f>
        <v>8.82845892261317</v>
      </c>
    </row>
    <row r="197" customFormat="false" ht="13.8" hidden="false" customHeight="false" outlineLevel="0" collapsed="false">
      <c r="A197" s="7" t="n">
        <v>31503</v>
      </c>
      <c r="B197" s="10" t="n">
        <f aca="false">B196*(1+Returns!F197)</f>
        <v>5.26650743917655</v>
      </c>
      <c r="C197" s="10" t="n">
        <f aca="false">C196*(1+Returns!G197)</f>
        <v>8.65256953549795</v>
      </c>
    </row>
    <row r="198" customFormat="false" ht="13.8" hidden="false" customHeight="false" outlineLevel="0" collapsed="false">
      <c r="A198" s="7" t="n">
        <v>31533</v>
      </c>
      <c r="B198" s="10" t="n">
        <f aca="false">B197*(1+Returns!F198)</f>
        <v>5.55788749626387</v>
      </c>
      <c r="C198" s="10" t="n">
        <f aca="false">C197*(1+Returns!G198)</f>
        <v>9.15345813333839</v>
      </c>
    </row>
    <row r="199" customFormat="false" ht="13.8" hidden="false" customHeight="false" outlineLevel="0" collapsed="false">
      <c r="A199" s="7" t="n">
        <v>31564</v>
      </c>
      <c r="B199" s="10" t="n">
        <f aca="false">B198*(1+Returns!F199)</f>
        <v>5.64539087700505</v>
      </c>
      <c r="C199" s="10" t="n">
        <f aca="false">C198*(1+Returns!G199)</f>
        <v>9.1715270596936</v>
      </c>
    </row>
    <row r="200" customFormat="false" ht="13.8" hidden="false" customHeight="false" outlineLevel="0" collapsed="false">
      <c r="A200" s="7" t="n">
        <v>31594</v>
      </c>
      <c r="B200" s="10" t="n">
        <f aca="false">B199*(1+Returns!F200)</f>
        <v>5.32054379516042</v>
      </c>
      <c r="C200" s="10" t="n">
        <f aca="false">C199*(1+Returns!G200)</f>
        <v>8.48063592628688</v>
      </c>
    </row>
    <row r="201" customFormat="false" ht="13.8" hidden="false" customHeight="false" outlineLevel="0" collapsed="false">
      <c r="A201" s="7" t="n">
        <v>31625</v>
      </c>
      <c r="B201" s="10" t="n">
        <f aca="false">B200*(1+Returns!F201)</f>
        <v>5.71648270276488</v>
      </c>
      <c r="C201" s="10" t="n">
        <f aca="false">C200*(1+Returns!G201)</f>
        <v>9.14138771321167</v>
      </c>
    </row>
    <row r="202" customFormat="false" ht="13.8" hidden="false" customHeight="false" outlineLevel="0" collapsed="false">
      <c r="A202" s="7" t="n">
        <v>31656</v>
      </c>
      <c r="B202" s="10" t="n">
        <f aca="false">B201*(1+Returns!F202)</f>
        <v>5.24062553313862</v>
      </c>
      <c r="C202" s="10" t="n">
        <f aca="false">C201*(1+Returns!G202)</f>
        <v>8.49015525252247</v>
      </c>
    </row>
    <row r="203" customFormat="false" ht="13.8" hidden="false" customHeight="false" outlineLevel="0" collapsed="false">
      <c r="A203" s="7" t="n">
        <v>31686</v>
      </c>
      <c r="B203" s="10" t="n">
        <f aca="false">B202*(1+Returns!F203)</f>
        <v>5.53692001953121</v>
      </c>
      <c r="C203" s="10" t="n">
        <f aca="false">C202*(1+Returns!G203)</f>
        <v>9.02552746243603</v>
      </c>
    </row>
    <row r="204" customFormat="false" ht="13.8" hidden="false" customHeight="false" outlineLevel="0" collapsed="false">
      <c r="A204" s="7" t="n">
        <v>31717</v>
      </c>
      <c r="B204" s="10" t="n">
        <f aca="false">B203*(1+Returns!F204)</f>
        <v>5.67465644193707</v>
      </c>
      <c r="C204" s="10" t="n">
        <f aca="false">C203*(1+Returns!G204)</f>
        <v>9.22756389468266</v>
      </c>
    </row>
    <row r="205" customFormat="false" ht="13.8" hidden="false" customHeight="false" outlineLevel="0" collapsed="false">
      <c r="A205" s="7" t="n">
        <v>31747</v>
      </c>
      <c r="B205" s="10" t="n">
        <f aca="false">B204*(1+Returns!F205)</f>
        <v>5.51852961925005</v>
      </c>
      <c r="C205" s="10" t="n">
        <f aca="false">C204*(1+Returns!G205)</f>
        <v>8.92904297512579</v>
      </c>
    </row>
    <row r="206" customFormat="false" ht="13.8" hidden="false" customHeight="false" outlineLevel="0" collapsed="false">
      <c r="A206" s="7" t="n">
        <v>31778</v>
      </c>
      <c r="B206" s="10" t="n">
        <f aca="false">B205*(1+Returns!F206)</f>
        <v>6.26454100876913</v>
      </c>
      <c r="C206" s="10" t="n">
        <f aca="false">C205*(1+Returns!G206)</f>
        <v>10.1886898547557</v>
      </c>
    </row>
    <row r="207" customFormat="false" ht="13.8" hidden="false" customHeight="false" outlineLevel="0" collapsed="false">
      <c r="A207" s="7" t="n">
        <v>31809</v>
      </c>
      <c r="B207" s="10" t="n">
        <f aca="false">B206*(1+Returns!F207)</f>
        <v>6.52626100303349</v>
      </c>
      <c r="C207" s="10" t="n">
        <f aca="false">C206*(1+Returns!G207)</f>
        <v>10.7926244458964</v>
      </c>
    </row>
    <row r="208" customFormat="false" ht="13.8" hidden="false" customHeight="false" outlineLevel="0" collapsed="false">
      <c r="A208" s="7" t="n">
        <v>31837</v>
      </c>
      <c r="B208" s="10" t="n">
        <f aca="false">B207*(1+Returns!F208)</f>
        <v>6.69813661280938</v>
      </c>
      <c r="C208" s="10" t="n">
        <f aca="false">C207*(1+Returns!G208)</f>
        <v>11.0075055986141</v>
      </c>
    </row>
    <row r="209" customFormat="false" ht="13.8" hidden="false" customHeight="false" outlineLevel="0" collapsed="false">
      <c r="A209" s="7" t="n">
        <v>31868</v>
      </c>
      <c r="B209" s="10" t="n">
        <f aca="false">B208*(1+Returns!F209)</f>
        <v>6.63755196714652</v>
      </c>
      <c r="C209" s="10" t="n">
        <f aca="false">C208*(1+Returns!G209)</f>
        <v>10.8686239004764</v>
      </c>
    </row>
    <row r="210" customFormat="false" ht="13.8" hidden="false" customHeight="false" outlineLevel="0" collapsed="false">
      <c r="A210" s="7" t="n">
        <v>31898</v>
      </c>
      <c r="B210" s="10" t="n">
        <f aca="false">B209*(1+Returns!F210)</f>
        <v>6.69813954150263</v>
      </c>
      <c r="C210" s="10" t="n">
        <f aca="false">C209*(1+Returns!G210)</f>
        <v>11.0076118629157</v>
      </c>
    </row>
    <row r="211" customFormat="false" ht="13.8" hidden="false" customHeight="false" outlineLevel="0" collapsed="false">
      <c r="A211" s="7" t="n">
        <v>31929</v>
      </c>
      <c r="B211" s="10" t="n">
        <f aca="false">B210*(1+Returns!F211)</f>
        <v>7.03398425811358</v>
      </c>
      <c r="C211" s="10" t="n">
        <f aca="false">C210*(1+Returns!G211)</f>
        <v>11.4920238381671</v>
      </c>
    </row>
    <row r="212" customFormat="false" ht="13.8" hidden="false" customHeight="false" outlineLevel="0" collapsed="false">
      <c r="A212" s="7" t="n">
        <v>31959</v>
      </c>
      <c r="B212" s="10" t="n">
        <f aca="false">B211*(1+Returns!F212)</f>
        <v>7.38457913549073</v>
      </c>
      <c r="C212" s="10" t="n">
        <f aca="false">C211*(1+Returns!G212)</f>
        <v>12.2419358537267</v>
      </c>
    </row>
    <row r="213" customFormat="false" ht="13.8" hidden="false" customHeight="false" outlineLevel="0" collapsed="false">
      <c r="A213" s="7" t="n">
        <v>31990</v>
      </c>
      <c r="B213" s="10" t="n">
        <f aca="false">B212*(1+Returns!F213)</f>
        <v>7.6733752563215</v>
      </c>
      <c r="C213" s="10" t="n">
        <f aca="false">C212*(1+Returns!G213)</f>
        <v>12.6020568807357</v>
      </c>
    </row>
    <row r="214" customFormat="false" ht="13.8" hidden="false" customHeight="false" outlineLevel="0" collapsed="false">
      <c r="A214" s="7" t="n">
        <v>32021</v>
      </c>
      <c r="B214" s="10" t="n">
        <f aca="false">B213*(1+Returns!F214)</f>
        <v>7.50502140319781</v>
      </c>
      <c r="C214" s="10" t="n">
        <f aca="false">C213*(1+Returns!G214)</f>
        <v>12.395660393143</v>
      </c>
    </row>
    <row r="215" customFormat="false" ht="13.8" hidden="false" customHeight="false" outlineLevel="0" collapsed="false">
      <c r="A215" s="7" t="n">
        <v>32051</v>
      </c>
      <c r="B215" s="10" t="n">
        <f aca="false">B214*(1+Returns!F215)</f>
        <v>5.88547530949474</v>
      </c>
      <c r="C215" s="10" t="n">
        <f aca="false">C214*(1+Returns!G215)</f>
        <v>9.2215036362709</v>
      </c>
    </row>
    <row r="216" customFormat="false" ht="13.8" hidden="false" customHeight="false" outlineLevel="0" collapsed="false">
      <c r="A216" s="7" t="n">
        <v>32082</v>
      </c>
      <c r="B216" s="10" t="n">
        <f aca="false">B215*(1+Returns!F216)</f>
        <v>5.40360790400517</v>
      </c>
      <c r="C216" s="10" t="n">
        <f aca="false">C215*(1+Returns!G216)</f>
        <v>8.64716072529304</v>
      </c>
    </row>
    <row r="217" customFormat="false" ht="13.8" hidden="false" customHeight="false" outlineLevel="0" collapsed="false">
      <c r="A217" s="7" t="n">
        <v>32112</v>
      </c>
      <c r="B217" s="10" t="n">
        <f aca="false">B216*(1+Returns!F217)</f>
        <v>5.80305340748504</v>
      </c>
      <c r="C217" s="10" t="n">
        <f aca="false">C216*(1+Returns!G217)</f>
        <v>9.46593443288886</v>
      </c>
    </row>
    <row r="218" customFormat="false" ht="13.8" hidden="false" customHeight="false" outlineLevel="0" collapsed="false">
      <c r="A218" s="7" t="n">
        <v>32143</v>
      </c>
      <c r="B218" s="10" t="n">
        <f aca="false">B217*(1+Returns!F218)</f>
        <v>6.05091922767894</v>
      </c>
      <c r="C218" s="10" t="n">
        <f aca="false">C217*(1+Returns!G218)</f>
        <v>9.93994109961577</v>
      </c>
    </row>
    <row r="219" customFormat="false" ht="13.8" hidden="false" customHeight="false" outlineLevel="0" collapsed="false">
      <c r="A219" s="7" t="n">
        <v>32174</v>
      </c>
      <c r="B219" s="10" t="n">
        <f aca="false">B218*(1+Returns!F219)</f>
        <v>6.33800509043617</v>
      </c>
      <c r="C219" s="10" t="n">
        <f aca="false">C218*(1+Returns!G219)</f>
        <v>10.6889256014129</v>
      </c>
    </row>
    <row r="220" customFormat="false" ht="13.8" hidden="false" customHeight="false" outlineLevel="0" collapsed="false">
      <c r="A220" s="7" t="n">
        <v>32203</v>
      </c>
      <c r="B220" s="10" t="n">
        <f aca="false">B219*(1+Returns!F220)</f>
        <v>6.14249664741149</v>
      </c>
      <c r="C220" s="10" t="n">
        <f aca="false">C219*(1+Returns!G220)</f>
        <v>10.6073690990741</v>
      </c>
    </row>
    <row r="221" customFormat="false" ht="13.8" hidden="false" customHeight="false" outlineLevel="0" collapsed="false">
      <c r="A221" s="7" t="n">
        <v>32234</v>
      </c>
      <c r="B221" s="10" t="n">
        <f aca="false">B220*(1+Returns!F221)</f>
        <v>6.20709114215567</v>
      </c>
      <c r="C221" s="10" t="n">
        <f aca="false">C220*(1+Returns!G221)</f>
        <v>10.6435296203329</v>
      </c>
    </row>
    <row r="222" customFormat="false" ht="13.8" hidden="false" customHeight="false" outlineLevel="0" collapsed="false">
      <c r="A222" s="7" t="n">
        <v>32264</v>
      </c>
      <c r="B222" s="10" t="n">
        <f aca="false">B221*(1+Returns!F222)</f>
        <v>6.25682235638662</v>
      </c>
      <c r="C222" s="10" t="n">
        <f aca="false">C221*(1+Returns!G222)</f>
        <v>10.6921173330497</v>
      </c>
    </row>
    <row r="223" customFormat="false" ht="13.8" hidden="false" customHeight="false" outlineLevel="0" collapsed="false">
      <c r="A223" s="7" t="n">
        <v>32295</v>
      </c>
      <c r="B223" s="10" t="n">
        <f aca="false">B222*(1+Returns!F223)</f>
        <v>6.55512261904971</v>
      </c>
      <c r="C223" s="10" t="n">
        <f aca="false">C222*(1+Returns!G223)</f>
        <v>11.3368092397633</v>
      </c>
    </row>
    <row r="224" customFormat="false" ht="13.8" hidden="false" customHeight="false" outlineLevel="0" collapsed="false">
      <c r="A224" s="7" t="n">
        <v>32325</v>
      </c>
      <c r="B224" s="10" t="n">
        <f aca="false">B223*(1+Returns!F224)</f>
        <v>6.52589988241398</v>
      </c>
      <c r="C224" s="10" t="n">
        <f aca="false">C223*(1+Returns!G224)</f>
        <v>11.2157434538918</v>
      </c>
    </row>
    <row r="225" customFormat="false" ht="13.8" hidden="false" customHeight="false" outlineLevel="0" collapsed="false">
      <c r="A225" s="7" t="n">
        <v>32356</v>
      </c>
      <c r="B225" s="10" t="n">
        <f aca="false">B224*(1+Returns!F225)</f>
        <v>6.31388644703412</v>
      </c>
      <c r="C225" s="10" t="n">
        <f aca="false">C224*(1+Returns!G225)</f>
        <v>10.8420236662647</v>
      </c>
    </row>
    <row r="226" customFormat="false" ht="13.8" hidden="false" customHeight="false" outlineLevel="0" collapsed="false">
      <c r="A226" s="7" t="n">
        <v>32387</v>
      </c>
      <c r="B226" s="10" t="n">
        <f aca="false">B225*(1+Returns!F226)</f>
        <v>6.58373563989391</v>
      </c>
      <c r="C226" s="10" t="n">
        <f aca="false">C225*(1+Returns!G226)</f>
        <v>11.2937674243433</v>
      </c>
    </row>
    <row r="227" customFormat="false" ht="13.8" hidden="false" customHeight="false" outlineLevel="0" collapsed="false">
      <c r="A227" s="7" t="n">
        <v>32417</v>
      </c>
      <c r="B227" s="10" t="n">
        <f aca="false">B226*(1+Returns!F227)</f>
        <v>6.7607788749863</v>
      </c>
      <c r="C227" s="10" t="n">
        <f aca="false">C226*(1+Returns!G227)</f>
        <v>11.4496891774038</v>
      </c>
    </row>
    <row r="228" customFormat="false" ht="13.8" hidden="false" customHeight="false" outlineLevel="0" collapsed="false">
      <c r="A228" s="7" t="n">
        <v>32448</v>
      </c>
      <c r="B228" s="10" t="n">
        <f aca="false">B227*(1+Returns!F228)</f>
        <v>6.66372789423587</v>
      </c>
      <c r="C228" s="10" t="n">
        <f aca="false">C227*(1+Returns!G228)</f>
        <v>11.1865638704179</v>
      </c>
    </row>
    <row r="229" customFormat="false" ht="13.8" hidden="false" customHeight="false" outlineLevel="0" collapsed="false">
      <c r="A229" s="7" t="n">
        <v>32478</v>
      </c>
      <c r="B229" s="10" t="n">
        <f aca="false">B228*(1+Returns!F229)</f>
        <v>6.78736003785763</v>
      </c>
      <c r="C229" s="10" t="n">
        <f aca="false">C228*(1+Returns!G229)</f>
        <v>11.4963086374259</v>
      </c>
    </row>
    <row r="230" customFormat="false" ht="13.8" hidden="false" customHeight="false" outlineLevel="0" collapsed="false">
      <c r="A230" s="7" t="n">
        <v>32509</v>
      </c>
      <c r="B230" s="10" t="n">
        <f aca="false">B229*(1+Returns!F230)</f>
        <v>7.27810653067485</v>
      </c>
      <c r="C230" s="10" t="n">
        <f aca="false">C229*(1+Returns!G230)</f>
        <v>12.3138916187937</v>
      </c>
    </row>
    <row r="231" customFormat="false" ht="13.8" hidden="false" customHeight="false" outlineLevel="0" collapsed="false">
      <c r="A231" s="7" t="n">
        <v>32540</v>
      </c>
      <c r="B231" s="10" t="n">
        <f aca="false">B230*(1+Returns!F231)</f>
        <v>7.09592824610552</v>
      </c>
      <c r="C231" s="10" t="n">
        <f aca="false">C230*(1+Returns!G231)</f>
        <v>12.1761976827123</v>
      </c>
    </row>
    <row r="232" customFormat="false" ht="13.8" hidden="false" customHeight="false" outlineLevel="0" collapsed="false">
      <c r="A232" s="7" t="n">
        <v>32568</v>
      </c>
      <c r="B232" s="10" t="n">
        <f aca="false">B231*(1+Returns!F232)</f>
        <v>7.2594042410393</v>
      </c>
      <c r="C232" s="10" t="n">
        <f aca="false">C231*(1+Returns!G232)</f>
        <v>12.4203669748438</v>
      </c>
    </row>
    <row r="233" customFormat="false" ht="13.8" hidden="false" customHeight="false" outlineLevel="0" collapsed="false">
      <c r="A233" s="7" t="n">
        <v>32599</v>
      </c>
      <c r="B233" s="10" t="n">
        <f aca="false">B232*(1+Returns!F233)</f>
        <v>7.63476625613072</v>
      </c>
      <c r="C233" s="10" t="n">
        <f aca="false">C232*(1+Returns!G233)</f>
        <v>13.0368767303741</v>
      </c>
    </row>
    <row r="234" customFormat="false" ht="13.8" hidden="false" customHeight="false" outlineLevel="0" collapsed="false">
      <c r="A234" s="7" t="n">
        <v>32629</v>
      </c>
      <c r="B234" s="10" t="n">
        <f aca="false">B233*(1+Returns!F234)</f>
        <v>7.94795963748971</v>
      </c>
      <c r="C234" s="10" t="n">
        <f aca="false">C233*(1+Returns!G234)</f>
        <v>13.6527518239937</v>
      </c>
    </row>
    <row r="235" customFormat="false" ht="13.8" hidden="false" customHeight="false" outlineLevel="0" collapsed="false">
      <c r="A235" s="7" t="n">
        <v>32660</v>
      </c>
      <c r="B235" s="10" t="n">
        <f aca="false">B234*(1+Returns!F235)</f>
        <v>7.90336363596376</v>
      </c>
      <c r="C235" s="10" t="n">
        <f aca="false">C234*(1+Returns!G235)</f>
        <v>13.5605957491817</v>
      </c>
    </row>
    <row r="236" customFormat="false" ht="13.8" hidden="false" customHeight="false" outlineLevel="0" collapsed="false">
      <c r="A236" s="7" t="n">
        <v>32690</v>
      </c>
      <c r="B236" s="10" t="n">
        <f aca="false">B235*(1+Returns!F236)</f>
        <v>8.6150852414732</v>
      </c>
      <c r="C236" s="10" t="n">
        <f aca="false">C235*(1+Returns!G236)</f>
        <v>14.6838605768737</v>
      </c>
    </row>
    <row r="237" customFormat="false" ht="13.8" hidden="false" customHeight="false" outlineLevel="0" collapsed="false">
      <c r="A237" s="7" t="n">
        <v>32721</v>
      </c>
      <c r="B237" s="10" t="n">
        <f aca="false">B236*(1+Returns!F237)</f>
        <v>8.78612052877217</v>
      </c>
      <c r="C237" s="10" t="n">
        <f aca="false">C236*(1+Returns!G237)</f>
        <v>15.1122915769251</v>
      </c>
    </row>
    <row r="238" customFormat="false" ht="13.8" hidden="false" customHeight="false" outlineLevel="0" collapsed="false">
      <c r="A238" s="7" t="n">
        <v>32752</v>
      </c>
      <c r="B238" s="10" t="n">
        <f aca="false">B237*(1+Returns!F238)</f>
        <v>8.75094090217497</v>
      </c>
      <c r="C238" s="10" t="n">
        <f aca="false">C237*(1+Returns!G238)</f>
        <v>14.8758446629126</v>
      </c>
    </row>
    <row r="239" customFormat="false" ht="13.8" hidden="false" customHeight="false" outlineLevel="0" collapsed="false">
      <c r="A239" s="7" t="n">
        <v>32782</v>
      </c>
      <c r="B239" s="10" t="n">
        <f aca="false">B238*(1+Returns!F239)</f>
        <v>8.54407741018845</v>
      </c>
      <c r="C239" s="10" t="n">
        <f aca="false">C238*(1+Returns!G239)</f>
        <v>14.1815146132711</v>
      </c>
    </row>
    <row r="240" customFormat="false" ht="13.8" hidden="false" customHeight="false" outlineLevel="0" collapsed="false">
      <c r="A240" s="7" t="n">
        <v>32813</v>
      </c>
      <c r="B240" s="10" t="n">
        <f aca="false">B239*(1+Returns!F240)</f>
        <v>8.7190515714717</v>
      </c>
      <c r="C240" s="10" t="n">
        <f aca="false">C239*(1+Returns!G240)</f>
        <v>14.3558196093828</v>
      </c>
    </row>
    <row r="241" customFormat="false" ht="13.8" hidden="false" customHeight="false" outlineLevel="0" collapsed="false">
      <c r="A241" s="7" t="n">
        <v>32843</v>
      </c>
      <c r="B241" s="10" t="n">
        <f aca="false">B240*(1+Returns!F241)</f>
        <v>8.91659912292653</v>
      </c>
      <c r="C241" s="10" t="n">
        <f aca="false">C240*(1+Returns!G241)</f>
        <v>14.5749611957201</v>
      </c>
    </row>
    <row r="242" customFormat="false" ht="13.8" hidden="false" customHeight="false" outlineLevel="0" collapsed="false">
      <c r="A242" s="7" t="n">
        <v>32874</v>
      </c>
      <c r="B242" s="10" t="n">
        <f aca="false">B241*(1+Returns!F242)</f>
        <v>8.3132931096702</v>
      </c>
      <c r="C242" s="10" t="n">
        <f aca="false">C241*(1+Returns!G242)</f>
        <v>13.5082926606113</v>
      </c>
    </row>
    <row r="243" customFormat="false" ht="13.8" hidden="false" customHeight="false" outlineLevel="0" collapsed="false">
      <c r="A243" s="7" t="n">
        <v>32905</v>
      </c>
      <c r="B243" s="10" t="n">
        <f aca="false">B242*(1+Returns!F243)</f>
        <v>8.4245332847707</v>
      </c>
      <c r="C243" s="10" t="n">
        <f aca="false">C242*(1+Returns!G243)</f>
        <v>13.6977059402984</v>
      </c>
    </row>
    <row r="244" customFormat="false" ht="13.8" hidden="false" customHeight="false" outlineLevel="0" collapsed="false">
      <c r="A244" s="7" t="n">
        <v>32933</v>
      </c>
      <c r="B244" s="10" t="n">
        <f aca="false">B243*(1+Returns!F244)</f>
        <v>8.64852477574618</v>
      </c>
      <c r="C244" s="10" t="n">
        <f aca="false">C243*(1+Returns!G244)</f>
        <v>14.132580708491</v>
      </c>
    </row>
    <row r="245" customFormat="false" ht="13.8" hidden="false" customHeight="false" outlineLevel="0" collapsed="false">
      <c r="A245" s="7" t="n">
        <v>32964</v>
      </c>
      <c r="B245" s="10" t="n">
        <f aca="false">B244*(1+Returns!F245)</f>
        <v>8.4366013246413</v>
      </c>
      <c r="C245" s="10" t="n">
        <f aca="false">C244*(1+Returns!G245)</f>
        <v>13.5588544620491</v>
      </c>
    </row>
    <row r="246" customFormat="false" ht="13.8" hidden="false" customHeight="false" outlineLevel="0" collapsed="false">
      <c r="A246" s="7" t="n">
        <v>32994</v>
      </c>
      <c r="B246" s="10" t="n">
        <f aca="false">B245*(1+Returns!F246)</f>
        <v>9.25848658908653</v>
      </c>
      <c r="C246" s="10" t="n">
        <f aca="false">C245*(1+Returns!G246)</f>
        <v>14.8635281149508</v>
      </c>
    </row>
    <row r="247" customFormat="false" ht="13.8" hidden="false" customHeight="false" outlineLevel="0" collapsed="false">
      <c r="A247" s="7" t="n">
        <v>33025</v>
      </c>
      <c r="B247" s="10" t="n">
        <f aca="false">B246*(1+Returns!F247)</f>
        <v>9.19595477066384</v>
      </c>
      <c r="C247" s="10" t="n">
        <f aca="false">C246*(1+Returns!G247)</f>
        <v>14.6474570067438</v>
      </c>
    </row>
    <row r="248" customFormat="false" ht="13.8" hidden="false" customHeight="false" outlineLevel="0" collapsed="false">
      <c r="A248" s="7" t="n">
        <v>33055</v>
      </c>
      <c r="B248" s="10" t="n">
        <f aca="false">B247*(1+Returns!F248)</f>
        <v>9.1549959881153</v>
      </c>
      <c r="C248" s="10" t="n">
        <f aca="false">C247*(1+Returns!G248)</f>
        <v>14.2870563270928</v>
      </c>
    </row>
    <row r="249" customFormat="false" ht="13.8" hidden="false" customHeight="false" outlineLevel="0" collapsed="false">
      <c r="A249" s="7" t="n">
        <v>33086</v>
      </c>
      <c r="B249" s="10" t="n">
        <f aca="false">B248*(1+Returns!F249)</f>
        <v>8.32371319739845</v>
      </c>
      <c r="C249" s="10" t="n">
        <f aca="false">C248*(1+Returns!G249)</f>
        <v>12.6815626593921</v>
      </c>
    </row>
    <row r="250" customFormat="false" ht="13.8" hidden="false" customHeight="false" outlineLevel="0" collapsed="false">
      <c r="A250" s="7" t="n">
        <v>33117</v>
      </c>
      <c r="B250" s="10" t="n">
        <f aca="false">B249*(1+Returns!F250)</f>
        <v>7.91619252296702</v>
      </c>
      <c r="C250" s="10" t="n">
        <f aca="false">C249*(1+Returns!G250)</f>
        <v>11.747895290157</v>
      </c>
    </row>
    <row r="251" customFormat="false" ht="13.8" hidden="false" customHeight="false" outlineLevel="0" collapsed="false">
      <c r="A251" s="7" t="n">
        <v>33147</v>
      </c>
      <c r="B251" s="10" t="n">
        <f aca="false">B250*(1+Returns!F251)</f>
        <v>7.8877179784619</v>
      </c>
      <c r="C251" s="10" t="n">
        <f aca="false">C250*(1+Returns!G251)</f>
        <v>11.3206008426634</v>
      </c>
    </row>
    <row r="252" customFormat="false" ht="13.8" hidden="false" customHeight="false" outlineLevel="0" collapsed="false">
      <c r="A252" s="7" t="n">
        <v>33178</v>
      </c>
      <c r="B252" s="10" t="n">
        <f aca="false">B251*(1+Returns!F252)</f>
        <v>8.39695693886938</v>
      </c>
      <c r="C252" s="10" t="n">
        <f aca="false">C251*(1+Returns!G252)</f>
        <v>12.3633979892854</v>
      </c>
    </row>
    <row r="253" customFormat="false" ht="13.8" hidden="false" customHeight="false" outlineLevel="0" collapsed="false">
      <c r="A253" s="7" t="n">
        <v>33208</v>
      </c>
      <c r="B253" s="10" t="n">
        <f aca="false">B252*(1+Returns!F253)</f>
        <v>8.63196257271752</v>
      </c>
      <c r="C253" s="10" t="n">
        <f aca="false">C252*(1+Returns!G253)</f>
        <v>12.8815727258123</v>
      </c>
    </row>
    <row r="254" customFormat="false" ht="13.8" hidden="false" customHeight="false" outlineLevel="0" collapsed="false">
      <c r="A254" s="7" t="n">
        <v>33239</v>
      </c>
      <c r="B254" s="10" t="n">
        <f aca="false">B253*(1+Returns!F254)</f>
        <v>9.02040952045238</v>
      </c>
      <c r="C254" s="10" t="n">
        <f aca="false">C253*(1+Returns!G254)</f>
        <v>13.9386989915561</v>
      </c>
    </row>
    <row r="255" customFormat="false" ht="13.8" hidden="false" customHeight="false" outlineLevel="0" collapsed="false">
      <c r="A255" s="7" t="n">
        <v>33270</v>
      </c>
      <c r="B255" s="10" t="n">
        <f aca="false">B254*(1+Returns!F255)</f>
        <v>9.66595512778356</v>
      </c>
      <c r="C255" s="10" t="n">
        <f aca="false">C254*(1+Returns!G255)</f>
        <v>15.1261925134427</v>
      </c>
    </row>
    <row r="256" customFormat="false" ht="13.8" hidden="false" customHeight="false" outlineLevel="0" collapsed="false">
      <c r="A256" s="7" t="n">
        <v>33298</v>
      </c>
      <c r="B256" s="10" t="n">
        <f aca="false">B255*(1+Returns!F256)</f>
        <v>9.90136946492073</v>
      </c>
      <c r="C256" s="10" t="n">
        <f aca="false">C255*(1+Returns!G256)</f>
        <v>15.59288093106</v>
      </c>
    </row>
    <row r="257" customFormat="false" ht="13.8" hidden="false" customHeight="false" outlineLevel="0" collapsed="false">
      <c r="A257" s="7" t="n">
        <v>33329</v>
      </c>
      <c r="B257" s="10" t="n">
        <f aca="false">B256*(1+Returns!F257)</f>
        <v>9.92382577086717</v>
      </c>
      <c r="C257" s="10" t="n">
        <f aca="false">C256*(1+Returns!G257)</f>
        <v>15.6715626082381</v>
      </c>
    </row>
    <row r="258" customFormat="false" ht="13.8" hidden="false" customHeight="false" outlineLevel="0" collapsed="false">
      <c r="A258" s="7" t="n">
        <v>33359</v>
      </c>
      <c r="B258" s="10" t="n">
        <f aca="false">B257*(1+Returns!F258)</f>
        <v>10.3498556112105</v>
      </c>
      <c r="C258" s="10" t="n">
        <f aca="false">C257*(1+Returns!G258)</f>
        <v>16.525067251008</v>
      </c>
    </row>
    <row r="259" customFormat="false" ht="13.8" hidden="false" customHeight="false" outlineLevel="0" collapsed="false">
      <c r="A259" s="7" t="n">
        <v>33390</v>
      </c>
      <c r="B259" s="10" t="n">
        <f aca="false">B258*(1+Returns!F259)</f>
        <v>9.88041721025282</v>
      </c>
      <c r="C259" s="10" t="n">
        <f aca="false">C258*(1+Returns!G259)</f>
        <v>15.7030608307411</v>
      </c>
    </row>
    <row r="260" customFormat="false" ht="13.8" hidden="false" customHeight="false" outlineLevel="0" collapsed="false">
      <c r="A260" s="7" t="n">
        <v>33420</v>
      </c>
      <c r="B260" s="10" t="n">
        <f aca="false">B259*(1+Returns!F260)</f>
        <v>10.340113501377</v>
      </c>
      <c r="C260" s="10" t="n">
        <f aca="false">C259*(1+Returns!G260)</f>
        <v>16.3617100142257</v>
      </c>
    </row>
    <row r="261" customFormat="false" ht="13.8" hidden="false" customHeight="false" outlineLevel="0" collapsed="false">
      <c r="A261" s="7" t="n">
        <v>33451</v>
      </c>
      <c r="B261" s="10" t="n">
        <f aca="false">B260*(1+Returns!F261)</f>
        <v>10.5870871123574</v>
      </c>
      <c r="C261" s="10" t="n">
        <f aca="false">C260*(1+Returns!G261)</f>
        <v>16.7320245969777</v>
      </c>
    </row>
    <row r="262" customFormat="false" ht="13.8" hidden="false" customHeight="false" outlineLevel="0" collapsed="false">
      <c r="A262" s="7" t="n">
        <v>33482</v>
      </c>
      <c r="B262" s="10" t="n">
        <f aca="false">B261*(1+Returns!F262)</f>
        <v>10.408578236556</v>
      </c>
      <c r="C262" s="10" t="n">
        <f aca="false">C261*(1+Returns!G262)</f>
        <v>16.4107362606665</v>
      </c>
    </row>
    <row r="263" customFormat="false" ht="13.8" hidden="false" customHeight="false" outlineLevel="0" collapsed="false">
      <c r="A263" s="7" t="n">
        <v>33512</v>
      </c>
      <c r="B263" s="10" t="n">
        <f aca="false">B262*(1+Returns!F263)</f>
        <v>10.5486568824635</v>
      </c>
      <c r="C263" s="10" t="n">
        <f aca="false">C262*(1+Returns!G263)</f>
        <v>16.5878245156553</v>
      </c>
    </row>
    <row r="264" customFormat="false" ht="13.8" hidden="false" customHeight="false" outlineLevel="0" collapsed="false">
      <c r="A264" s="7" t="n">
        <v>33543</v>
      </c>
      <c r="B264" s="10" t="n">
        <f aca="false">B263*(1+Returns!F264)</f>
        <v>10.1244531945922</v>
      </c>
      <c r="C264" s="10" t="n">
        <f aca="false">C263*(1+Returns!G264)</f>
        <v>15.7450137398394</v>
      </c>
    </row>
    <row r="265" customFormat="false" ht="13.8" hidden="false" customHeight="false" outlineLevel="0" collapsed="false">
      <c r="A265" s="7" t="n">
        <v>33573</v>
      </c>
      <c r="B265" s="10" t="n">
        <f aca="false">B264*(1+Returns!F265)</f>
        <v>11.27954193511</v>
      </c>
      <c r="C265" s="10" t="n">
        <f aca="false">C264*(1+Returns!G265)</f>
        <v>17.5339464559462</v>
      </c>
    </row>
    <row r="266" customFormat="false" ht="13.8" hidden="false" customHeight="false" outlineLevel="0" collapsed="false">
      <c r="A266" s="7" t="n">
        <v>33604</v>
      </c>
      <c r="B266" s="10" t="n">
        <f aca="false">B265*(1+Returns!F266)</f>
        <v>11.0725848996846</v>
      </c>
      <c r="C266" s="10" t="n">
        <f aca="false">C265*(1+Returns!G266)</f>
        <v>17.8469800020242</v>
      </c>
    </row>
    <row r="267" customFormat="false" ht="13.8" hidden="false" customHeight="false" outlineLevel="0" collapsed="false">
      <c r="A267" s="7" t="n">
        <v>33635</v>
      </c>
      <c r="B267" s="10" t="n">
        <f aca="false">B266*(1+Returns!F267)</f>
        <v>11.215033704419</v>
      </c>
      <c r="C267" s="10" t="n">
        <f aca="false">C266*(1+Returns!G267)</f>
        <v>18.3892604893857</v>
      </c>
    </row>
    <row r="268" customFormat="false" ht="13.8" hidden="false" customHeight="false" outlineLevel="0" collapsed="false">
      <c r="A268" s="7" t="n">
        <v>33664</v>
      </c>
      <c r="B268" s="10" t="n">
        <f aca="false">B267*(1+Returns!F268)</f>
        <v>10.996676998194</v>
      </c>
      <c r="C268" s="10" t="n">
        <f aca="false">C267*(1+Returns!G268)</f>
        <v>18.0166205148288</v>
      </c>
    </row>
    <row r="269" customFormat="false" ht="13.8" hidden="false" customHeight="false" outlineLevel="0" collapsed="false">
      <c r="A269" s="7" t="n">
        <v>33695</v>
      </c>
      <c r="B269" s="10" t="n">
        <f aca="false">B268*(1+Returns!F269)</f>
        <v>11.3113359138203</v>
      </c>
      <c r="C269" s="10" t="n">
        <f aca="false">C268*(1+Returns!G269)</f>
        <v>18.3156423655134</v>
      </c>
    </row>
    <row r="270" customFormat="false" ht="13.8" hidden="false" customHeight="false" outlineLevel="0" collapsed="false">
      <c r="A270" s="7" t="n">
        <v>33725</v>
      </c>
      <c r="B270" s="10" t="n">
        <f aca="false">B269*(1+Returns!F270)</f>
        <v>11.3661958930023</v>
      </c>
      <c r="C270" s="10" t="n">
        <f aca="false">C269*(1+Returns!G270)</f>
        <v>18.3509915552789</v>
      </c>
    </row>
    <row r="271" customFormat="false" ht="13.8" hidden="false" customHeight="false" outlineLevel="0" collapsed="false">
      <c r="A271" s="7" t="n">
        <v>33756</v>
      </c>
      <c r="B271" s="10" t="n">
        <f aca="false">B270*(1+Returns!F271)</f>
        <v>11.1953619687305</v>
      </c>
      <c r="C271" s="10" t="n">
        <f aca="false">C270*(1+Returns!G271)</f>
        <v>17.9756954269819</v>
      </c>
    </row>
    <row r="272" customFormat="false" ht="13.8" hidden="false" customHeight="false" outlineLevel="0" collapsed="false">
      <c r="A272" s="7" t="n">
        <v>33786</v>
      </c>
      <c r="B272" s="10" t="n">
        <f aca="false">B271*(1+Returns!F272)</f>
        <v>11.6535209619388</v>
      </c>
      <c r="C272" s="10" t="n">
        <f aca="false">C271*(1+Returns!G272)</f>
        <v>18.7089240434485</v>
      </c>
    </row>
    <row r="273" customFormat="false" ht="13.8" hidden="false" customHeight="false" outlineLevel="0" collapsed="false">
      <c r="A273" s="7" t="n">
        <v>33817</v>
      </c>
      <c r="B273" s="10" t="n">
        <f aca="false">B272*(1+Returns!F273)</f>
        <v>11.4132836273085</v>
      </c>
      <c r="C273" s="10" t="n">
        <f aca="false">C272*(1+Returns!G273)</f>
        <v>18.1957195480126</v>
      </c>
    </row>
    <row r="274" customFormat="false" ht="13.8" hidden="false" customHeight="false" outlineLevel="0" collapsed="false">
      <c r="A274" s="7" t="n">
        <v>33848</v>
      </c>
      <c r="B274" s="10" t="n">
        <f aca="false">B273*(1+Returns!F274)</f>
        <v>11.5427102636421</v>
      </c>
      <c r="C274" s="10" t="n">
        <f aca="false">C273*(1+Returns!G274)</f>
        <v>18.5412744579489</v>
      </c>
    </row>
    <row r="275" customFormat="false" ht="13.8" hidden="false" customHeight="false" outlineLevel="0" collapsed="false">
      <c r="A275" s="7" t="n">
        <v>33878</v>
      </c>
      <c r="B275" s="10" t="n">
        <f aca="false">B274*(1+Returns!F275)</f>
        <v>11.5980691020666</v>
      </c>
      <c r="C275" s="10" t="n">
        <f aca="false">C274*(1+Returns!G275)</f>
        <v>18.9194793743422</v>
      </c>
    </row>
    <row r="276" customFormat="false" ht="13.8" hidden="false" customHeight="false" outlineLevel="0" collapsed="false">
      <c r="A276" s="7" t="n">
        <v>33909</v>
      </c>
      <c r="B276" s="10" t="n">
        <f aca="false">B275*(1+Returns!F276)</f>
        <v>11.9900142493018</v>
      </c>
      <c r="C276" s="10" t="n">
        <f aca="false">C275*(1+Returns!G276)</f>
        <v>19.75626902759</v>
      </c>
    </row>
    <row r="277" customFormat="false" ht="13.8" hidden="false" customHeight="false" outlineLevel="0" collapsed="false">
      <c r="A277" s="7" t="n">
        <v>33939</v>
      </c>
      <c r="B277" s="10" t="n">
        <f aca="false">B276*(1+Returns!F277)</f>
        <v>12.1504406399575</v>
      </c>
      <c r="C277" s="10" t="n">
        <f aca="false">C276*(1+Returns!G277)</f>
        <v>20.2014172813196</v>
      </c>
    </row>
    <row r="278" customFormat="false" ht="13.8" hidden="false" customHeight="false" outlineLevel="0" collapsed="false">
      <c r="A278" s="7" t="n">
        <v>33970</v>
      </c>
      <c r="B278" s="10" t="n">
        <f aca="false">B277*(1+Returns!F278)</f>
        <v>12.2389201486976</v>
      </c>
      <c r="C278" s="10" t="n">
        <f aca="false">C277*(1+Returns!G278)</f>
        <v>20.6601106621093</v>
      </c>
    </row>
    <row r="279" customFormat="false" ht="13.8" hidden="false" customHeight="false" outlineLevel="0" collapsed="false">
      <c r="A279" s="7" t="n">
        <v>34001</v>
      </c>
      <c r="B279" s="10" t="n">
        <f aca="false">B278*(1+Returns!F279)</f>
        <v>12.4044637826289</v>
      </c>
      <c r="C279" s="10" t="n">
        <f aca="false">C278*(1+Returns!G279)</f>
        <v>20.8850372868876</v>
      </c>
    </row>
    <row r="280" customFormat="false" ht="13.8" hidden="false" customHeight="false" outlineLevel="0" collapsed="false">
      <c r="A280" s="7" t="n">
        <v>34029</v>
      </c>
      <c r="B280" s="10" t="n">
        <f aca="false">B279*(1+Returns!F280)</f>
        <v>12.6674632237482</v>
      </c>
      <c r="C280" s="10" t="n">
        <f aca="false">C279*(1+Returns!G280)</f>
        <v>21.45835244545</v>
      </c>
    </row>
    <row r="281" customFormat="false" ht="13.8" hidden="false" customHeight="false" outlineLevel="0" collapsed="false">
      <c r="A281" s="7" t="n">
        <v>34060</v>
      </c>
      <c r="B281" s="10" t="n">
        <f aca="false">B280*(1+Returns!F281)</f>
        <v>12.3568696929651</v>
      </c>
      <c r="C281" s="10" t="n">
        <f aca="false">C280*(1+Returns!G281)</f>
        <v>20.9874489010346</v>
      </c>
    </row>
    <row r="282" customFormat="false" ht="13.8" hidden="false" customHeight="false" outlineLevel="0" collapsed="false">
      <c r="A282" s="7" t="n">
        <v>34090</v>
      </c>
      <c r="B282" s="10" t="n">
        <f aca="false">B281*(1+Returns!F282)</f>
        <v>12.6813487342327</v>
      </c>
      <c r="C282" s="10" t="n">
        <f aca="false">C281*(1+Returns!G282)</f>
        <v>21.6512819097743</v>
      </c>
    </row>
    <row r="283" customFormat="false" ht="13.8" hidden="false" customHeight="false" outlineLevel="0" collapsed="false">
      <c r="A283" s="7" t="n">
        <v>34121</v>
      </c>
      <c r="B283" s="10" t="n">
        <f aca="false">B282*(1+Returns!F283)</f>
        <v>12.7253022889456</v>
      </c>
      <c r="C283" s="10" t="n">
        <f aca="false">C282*(1+Returns!G283)</f>
        <v>21.7265634169746</v>
      </c>
    </row>
    <row r="284" customFormat="false" ht="13.8" hidden="false" customHeight="false" outlineLevel="0" collapsed="false">
      <c r="A284" s="7" t="n">
        <v>34151</v>
      </c>
      <c r="B284" s="10" t="n">
        <f aca="false">B283*(1+Returns!F284)</f>
        <v>12.6668549755324</v>
      </c>
      <c r="C284" s="10" t="n">
        <f aca="false">C283*(1+Returns!G284)</f>
        <v>21.710898564751</v>
      </c>
    </row>
    <row r="285" customFormat="false" ht="13.8" hidden="false" customHeight="false" outlineLevel="0" collapsed="false">
      <c r="A285" s="7" t="n">
        <v>34182</v>
      </c>
      <c r="B285" s="10" t="n">
        <f aca="false">B284*(1+Returns!F285)</f>
        <v>13.1409880241216</v>
      </c>
      <c r="C285" s="10" t="n">
        <f aca="false">C284*(1+Returns!G285)</f>
        <v>22.5798121471094</v>
      </c>
    </row>
    <row r="286" customFormat="false" ht="13.8" hidden="false" customHeight="false" outlineLevel="0" collapsed="false">
      <c r="A286" s="7" t="n">
        <v>34213</v>
      </c>
      <c r="B286" s="10" t="n">
        <f aca="false">B285*(1+Returns!F286)</f>
        <v>13.0413530529227</v>
      </c>
      <c r="C286" s="10" t="n">
        <f aca="false">C285*(1+Returns!G286)</f>
        <v>22.43900443856</v>
      </c>
    </row>
    <row r="287" customFormat="false" ht="13.8" hidden="false" customHeight="false" outlineLevel="0" collapsed="false">
      <c r="A287" s="7" t="n">
        <v>34243</v>
      </c>
      <c r="B287" s="10" t="n">
        <f aca="false">B286*(1+Returns!F287)</f>
        <v>13.300667317027</v>
      </c>
      <c r="C287" s="10" t="n">
        <f aca="false">C286*(1+Returns!G287)</f>
        <v>22.8803123388532</v>
      </c>
    </row>
    <row r="288" customFormat="false" ht="13.8" hidden="false" customHeight="false" outlineLevel="0" collapsed="false">
      <c r="A288" s="7" t="n">
        <v>34274</v>
      </c>
      <c r="B288" s="10" t="n">
        <f aca="false">B287*(1+Returns!F288)</f>
        <v>13.1855500413981</v>
      </c>
      <c r="C288" s="10" t="n">
        <f aca="false">C287*(1+Returns!G288)</f>
        <v>22.6842280621092</v>
      </c>
    </row>
    <row r="289" customFormat="false" ht="13.8" hidden="false" customHeight="false" outlineLevel="0" collapsed="false">
      <c r="A289" s="7" t="n">
        <v>34304</v>
      </c>
      <c r="B289" s="10" t="n">
        <f aca="false">B288*(1+Returns!F289)</f>
        <v>13.3522945072217</v>
      </c>
      <c r="C289" s="10" t="n">
        <f aca="false">C288*(1+Returns!G289)</f>
        <v>23.214108945412</v>
      </c>
    </row>
    <row r="290" customFormat="false" ht="13.8" hidden="false" customHeight="false" outlineLevel="0" collapsed="false">
      <c r="A290" s="7" t="n">
        <v>34335</v>
      </c>
      <c r="B290" s="10" t="n">
        <f aca="false">B289*(1+Returns!F290)</f>
        <v>13.7986483603036</v>
      </c>
      <c r="C290" s="10" t="n">
        <f aca="false">C289*(1+Returns!G290)</f>
        <v>24.0734720444623</v>
      </c>
    </row>
    <row r="291" customFormat="false" ht="13.8" hidden="false" customHeight="false" outlineLevel="0" collapsed="false">
      <c r="A291" s="7" t="n">
        <v>34366</v>
      </c>
      <c r="B291" s="10" t="n">
        <f aca="false">B290*(1+Returns!F291)</f>
        <v>13.4238632721894</v>
      </c>
      <c r="C291" s="10" t="n">
        <f aca="false">C290*(1+Returns!G291)</f>
        <v>23.6550991738015</v>
      </c>
    </row>
    <row r="292" customFormat="false" ht="13.8" hidden="false" customHeight="false" outlineLevel="0" collapsed="false">
      <c r="A292" s="7" t="n">
        <v>34394</v>
      </c>
      <c r="B292" s="10" t="n">
        <f aca="false">B291*(1+Returns!F292)</f>
        <v>12.8405158698331</v>
      </c>
      <c r="C292" s="10" t="n">
        <f aca="false">C291*(1+Returns!G292)</f>
        <v>22.6209218930221</v>
      </c>
    </row>
    <row r="293" customFormat="false" ht="13.8" hidden="false" customHeight="false" outlineLevel="0" collapsed="false">
      <c r="A293" s="7" t="n">
        <v>34425</v>
      </c>
      <c r="B293" s="10" t="n">
        <f aca="false">B292*(1+Returns!F293)</f>
        <v>13.0050927617368</v>
      </c>
      <c r="C293" s="10" t="n">
        <f aca="false">C292*(1+Returns!G293)</f>
        <v>22.7218564465088</v>
      </c>
    </row>
    <row r="294" customFormat="false" ht="13.8" hidden="false" customHeight="false" outlineLevel="0" collapsed="false">
      <c r="A294" s="7" t="n">
        <v>34455</v>
      </c>
      <c r="B294" s="10" t="n">
        <f aca="false">B293*(1+Returns!F294)</f>
        <v>13.2171928195879</v>
      </c>
      <c r="C294" s="10" t="n">
        <f aca="false">C293*(1+Returns!G294)</f>
        <v>22.9964955253777</v>
      </c>
    </row>
    <row r="295" customFormat="false" ht="13.8" hidden="false" customHeight="false" outlineLevel="0" collapsed="false">
      <c r="A295" s="7" t="n">
        <v>34486</v>
      </c>
      <c r="B295" s="10" t="n">
        <f aca="false">B294*(1+Returns!F295)</f>
        <v>12.8899086909893</v>
      </c>
      <c r="C295" s="10" t="n">
        <f aca="false">C294*(1+Returns!G295)</f>
        <v>22.4921133890196</v>
      </c>
    </row>
    <row r="296" customFormat="false" ht="13.8" hidden="false" customHeight="false" outlineLevel="0" collapsed="false">
      <c r="A296" s="7" t="n">
        <v>34516</v>
      </c>
      <c r="B296" s="10" t="n">
        <f aca="false">B295*(1+Returns!F296)</f>
        <v>13.3115891639063</v>
      </c>
      <c r="C296" s="10" t="n">
        <f aca="false">C295*(1+Returns!G296)</f>
        <v>23.251222215899</v>
      </c>
    </row>
    <row r="297" customFormat="false" ht="13.8" hidden="false" customHeight="false" outlineLevel="0" collapsed="false">
      <c r="A297" s="7" t="n">
        <v>34547</v>
      </c>
      <c r="B297" s="10" t="n">
        <f aca="false">B296*(1+Returns!F297)</f>
        <v>13.8619035715314</v>
      </c>
      <c r="C297" s="10" t="n">
        <f aca="false">C296*(1+Returns!G297)</f>
        <v>24.4656800546799</v>
      </c>
    </row>
    <row r="298" customFormat="false" ht="13.8" hidden="false" customHeight="false" outlineLevel="0" collapsed="false">
      <c r="A298" s="7" t="n">
        <v>34578</v>
      </c>
      <c r="B298" s="10" t="n">
        <f aca="false">B297*(1+Returns!F298)</f>
        <v>13.5300496000289</v>
      </c>
      <c r="C298" s="10" t="n">
        <f aca="false">C297*(1+Returns!G298)</f>
        <v>23.8295723732582</v>
      </c>
    </row>
    <row r="299" customFormat="false" ht="13.8" hidden="false" customHeight="false" outlineLevel="0" collapsed="false">
      <c r="A299" s="7" t="n">
        <v>34608</v>
      </c>
      <c r="B299" s="10" t="n">
        <f aca="false">B298*(1+Returns!F299)</f>
        <v>13.8361263820808</v>
      </c>
      <c r="C299" s="10" t="n">
        <f aca="false">C298*(1+Returns!G299)</f>
        <v>24.1156702191715</v>
      </c>
    </row>
    <row r="300" customFormat="false" ht="13.8" hidden="false" customHeight="false" outlineLevel="0" collapsed="false">
      <c r="A300" s="7" t="n">
        <v>34639</v>
      </c>
      <c r="B300" s="10" t="n">
        <f aca="false">B299*(1+Returns!F300)</f>
        <v>13.3345944729831</v>
      </c>
      <c r="C300" s="10" t="n">
        <f aca="false">C299*(1+Returns!G300)</f>
        <v>23.0686883966062</v>
      </c>
    </row>
    <row r="301" customFormat="false" ht="13.8" hidden="false" customHeight="false" outlineLevel="0" collapsed="false">
      <c r="A301" s="7" t="n">
        <v>34669</v>
      </c>
      <c r="B301" s="10" t="n">
        <f aca="false">B300*(1+Returns!F301)</f>
        <v>13.5340133333266</v>
      </c>
      <c r="C301" s="10" t="n">
        <f aca="false">C300*(1+Returns!G301)</f>
        <v>23.4504290521932</v>
      </c>
    </row>
    <row r="302" customFormat="false" ht="13.8" hidden="false" customHeight="false" outlineLevel="0" collapsed="false">
      <c r="A302" s="7" t="n">
        <v>34700</v>
      </c>
      <c r="B302" s="10" t="n">
        <f aca="false">B301*(1+Returns!F302)</f>
        <v>13.8858976799931</v>
      </c>
      <c r="C302" s="10" t="n">
        <f aca="false">C301*(1+Returns!G302)</f>
        <v>23.9464994283633</v>
      </c>
    </row>
    <row r="303" customFormat="false" ht="13.8" hidden="false" customHeight="false" outlineLevel="0" collapsed="false">
      <c r="A303" s="7" t="n">
        <v>34731</v>
      </c>
      <c r="B303" s="10" t="n">
        <f aca="false">B302*(1+Returns!F303)</f>
        <v>14.4306136741838</v>
      </c>
      <c r="C303" s="10" t="n">
        <f aca="false">C302*(1+Returns!G303)</f>
        <v>25.0132920313975</v>
      </c>
    </row>
    <row r="304" customFormat="false" ht="13.8" hidden="false" customHeight="false" outlineLevel="0" collapsed="false">
      <c r="A304" s="7" t="n">
        <v>34759</v>
      </c>
      <c r="B304" s="10" t="n">
        <f aca="false">B303*(1+Returns!F304)</f>
        <v>14.8539212957023</v>
      </c>
      <c r="C304" s="10" t="n">
        <f aca="false">C303*(1+Returns!G304)</f>
        <v>25.7501085747664</v>
      </c>
    </row>
    <row r="305" customFormat="false" ht="13.8" hidden="false" customHeight="false" outlineLevel="0" collapsed="false">
      <c r="A305" s="7" t="n">
        <v>34790</v>
      </c>
      <c r="B305" s="10" t="n">
        <f aca="false">B304*(1+Returns!F305)</f>
        <v>15.2905523121895</v>
      </c>
      <c r="C305" s="10" t="n">
        <f aca="false">C304*(1+Returns!G305)</f>
        <v>26.3629611588458</v>
      </c>
    </row>
    <row r="306" customFormat="false" ht="13.8" hidden="false" customHeight="false" outlineLevel="0" collapsed="false">
      <c r="A306" s="7" t="n">
        <v>34820</v>
      </c>
      <c r="B306" s="10" t="n">
        <f aca="false">B305*(1+Returns!F306)</f>
        <v>15.8992539091854</v>
      </c>
      <c r="C306" s="10" t="n">
        <f aca="false">C305*(1+Returns!G306)</f>
        <v>27.304356138867</v>
      </c>
    </row>
    <row r="307" customFormat="false" ht="13.8" hidden="false" customHeight="false" outlineLevel="0" collapsed="false">
      <c r="A307" s="7" t="n">
        <v>34851</v>
      </c>
      <c r="B307" s="10" t="n">
        <f aca="false">B306*(1+Returns!F307)</f>
        <v>16.2833003873618</v>
      </c>
      <c r="C307" s="10" t="n">
        <f aca="false">C306*(1+Returns!G307)</f>
        <v>28.0088904403182</v>
      </c>
    </row>
    <row r="308" customFormat="false" ht="13.8" hidden="false" customHeight="false" outlineLevel="0" collapsed="false">
      <c r="A308" s="7" t="n">
        <v>34881</v>
      </c>
      <c r="B308" s="10" t="n">
        <f aca="false">B307*(1+Returns!F308)</f>
        <v>16.8272440368016</v>
      </c>
      <c r="C308" s="10" t="n">
        <f aca="false">C307*(1+Returns!G308)</f>
        <v>28.9408022430485</v>
      </c>
    </row>
    <row r="309" customFormat="false" ht="13.8" hidden="false" customHeight="false" outlineLevel="0" collapsed="false">
      <c r="A309" s="7" t="n">
        <v>34912</v>
      </c>
      <c r="B309" s="10" t="n">
        <f aca="false">B308*(1+Returns!F309)</f>
        <v>16.8861730454185</v>
      </c>
      <c r="C309" s="10" t="n">
        <f aca="false">C308*(1+Returns!G309)</f>
        <v>29.1642252363648</v>
      </c>
    </row>
    <row r="310" customFormat="false" ht="13.8" hidden="false" customHeight="false" outlineLevel="0" collapsed="false">
      <c r="A310" s="7" t="n">
        <v>34943</v>
      </c>
      <c r="B310" s="10" t="n">
        <f aca="false">B309*(1+Returns!F310)</f>
        <v>17.5971147029767</v>
      </c>
      <c r="C310" s="10" t="n">
        <f aca="false">C309*(1+Returns!G310)</f>
        <v>29.8861273036406</v>
      </c>
    </row>
    <row r="311" customFormat="false" ht="13.8" hidden="false" customHeight="false" outlineLevel="0" collapsed="false">
      <c r="A311" s="7" t="n">
        <v>34973</v>
      </c>
      <c r="B311" s="10" t="n">
        <f aca="false">B310*(1+Returns!F311)</f>
        <v>17.5365454341691</v>
      </c>
      <c r="C311" s="10" t="n">
        <f aca="false">C310*(1+Returns!G311)</f>
        <v>29.165303799204</v>
      </c>
    </row>
    <row r="312" customFormat="false" ht="13.8" hidden="false" customHeight="false" outlineLevel="0" collapsed="false">
      <c r="A312" s="7" t="n">
        <v>35004</v>
      </c>
      <c r="B312" s="10" t="n">
        <f aca="false">B311*(1+Returns!F312)</f>
        <v>18.3112924749052</v>
      </c>
      <c r="C312" s="10" t="n">
        <f aca="false">C311*(1+Returns!G312)</f>
        <v>30.6523843093179</v>
      </c>
    </row>
    <row r="313" customFormat="false" ht="13.8" hidden="false" customHeight="false" outlineLevel="0" collapsed="false">
      <c r="A313" s="7" t="n">
        <v>35034</v>
      </c>
      <c r="B313" s="10" t="n">
        <f aca="false">B312*(1+Returns!F313)</f>
        <v>18.63435860804</v>
      </c>
      <c r="C313" s="10" t="n">
        <f aca="false">C312*(1+Returns!G313)</f>
        <v>31.1011658679906</v>
      </c>
    </row>
    <row r="314" customFormat="false" ht="13.8" hidden="false" customHeight="false" outlineLevel="0" collapsed="false">
      <c r="A314" s="7" t="n">
        <v>35065</v>
      </c>
      <c r="B314" s="10" t="n">
        <f aca="false">B313*(1+Returns!F314)</f>
        <v>19.2839709834749</v>
      </c>
      <c r="C314" s="10" t="n">
        <f aca="false">C313*(1+Returns!G314)</f>
        <v>32.0552563333229</v>
      </c>
    </row>
    <row r="315" customFormat="false" ht="13.8" hidden="false" customHeight="false" outlineLevel="0" collapsed="false">
      <c r="A315" s="7" t="n">
        <v>35096</v>
      </c>
      <c r="B315" s="10" t="n">
        <f aca="false">B314*(1+Returns!F315)</f>
        <v>19.4785076827562</v>
      </c>
      <c r="C315" s="10" t="n">
        <f aca="false">C314*(1+Returns!G315)</f>
        <v>32.4679036481018</v>
      </c>
    </row>
    <row r="316" customFormat="false" ht="13.8" hidden="false" customHeight="false" outlineLevel="0" collapsed="false">
      <c r="A316" s="7" t="n">
        <v>35125</v>
      </c>
      <c r="B316" s="10" t="n">
        <f aca="false">B315*(1+Returns!F316)</f>
        <v>19.6652091788954</v>
      </c>
      <c r="C316" s="10" t="n">
        <f aca="false">C315*(1+Returns!G316)</f>
        <v>33.1046641744484</v>
      </c>
    </row>
    <row r="317" customFormat="false" ht="13.8" hidden="false" customHeight="false" outlineLevel="0" collapsed="false">
      <c r="A317" s="7" t="n">
        <v>35156</v>
      </c>
      <c r="B317" s="10" t="n">
        <f aca="false">B316*(1+Returns!F317)</f>
        <v>19.9628027893996</v>
      </c>
      <c r="C317" s="10" t="n">
        <f aca="false">C316*(1+Returns!G317)</f>
        <v>34.0451676836444</v>
      </c>
    </row>
    <row r="318" customFormat="false" ht="13.8" hidden="false" customHeight="false" outlineLevel="0" collapsed="false">
      <c r="A318" s="7" t="n">
        <v>35186</v>
      </c>
      <c r="B318" s="10" t="n">
        <f aca="false">B317*(1+Returns!F318)</f>
        <v>20.4670232622543</v>
      </c>
      <c r="C318" s="10" t="n">
        <f aca="false">C317*(1+Returns!G318)</f>
        <v>34.4912274706356</v>
      </c>
    </row>
    <row r="319" customFormat="false" ht="13.8" hidden="false" customHeight="false" outlineLevel="0" collapsed="false">
      <c r="A319" s="7" t="n">
        <v>35217</v>
      </c>
      <c r="B319" s="10" t="n">
        <f aca="false">B318*(1+Returns!F319)</f>
        <v>20.5515111342809</v>
      </c>
      <c r="C319" s="10" t="n">
        <f aca="false">C318*(1+Returns!G319)</f>
        <v>34.1693898271071</v>
      </c>
    </row>
    <row r="320" customFormat="false" ht="13.8" hidden="false" customHeight="false" outlineLevel="0" collapsed="false">
      <c r="A320" s="7" t="n">
        <v>35247</v>
      </c>
      <c r="B320" s="10" t="n">
        <f aca="false">B319*(1+Returns!F320)</f>
        <v>19.6381197734289</v>
      </c>
      <c r="C320" s="10" t="n">
        <f aca="false">C319*(1+Returns!G320)</f>
        <v>32.2589109030939</v>
      </c>
    </row>
    <row r="321" customFormat="false" ht="13.8" hidden="false" customHeight="false" outlineLevel="0" collapsed="false">
      <c r="A321" s="7" t="n">
        <v>35278</v>
      </c>
      <c r="B321" s="10" t="n">
        <f aca="false">B320*(1+Returns!F321)</f>
        <v>20.0687444638206</v>
      </c>
      <c r="C321" s="10" t="n">
        <f aca="false">C320*(1+Returns!G321)</f>
        <v>33.3226484901234</v>
      </c>
    </row>
    <row r="322" customFormat="false" ht="13.8" hidden="false" customHeight="false" outlineLevel="0" collapsed="false">
      <c r="A322" s="7" t="n">
        <v>35309</v>
      </c>
      <c r="B322" s="10" t="n">
        <f aca="false">B321*(1+Returns!F322)</f>
        <v>21.1932965598508</v>
      </c>
      <c r="C322" s="10" t="n">
        <f aca="false">C321*(1+Returns!G322)</f>
        <v>34.98391580795</v>
      </c>
    </row>
    <row r="323" customFormat="false" ht="13.8" hidden="false" customHeight="false" outlineLevel="0" collapsed="false">
      <c r="A323" s="7" t="n">
        <v>35339</v>
      </c>
      <c r="B323" s="10" t="n">
        <f aca="false">B322*(1+Returns!F323)</f>
        <v>21.7612345210617</v>
      </c>
      <c r="C323" s="10" t="n">
        <f aca="false">C322*(1+Returns!G323)</f>
        <v>35.4616211783075</v>
      </c>
    </row>
    <row r="324" customFormat="false" ht="13.8" hidden="false" customHeight="false" outlineLevel="0" collapsed="false">
      <c r="A324" s="7" t="n">
        <v>35370</v>
      </c>
      <c r="B324" s="10" t="n">
        <f aca="false">B323*(1+Returns!F324)</f>
        <v>23.4246850490862</v>
      </c>
      <c r="C324" s="10" t="n">
        <f aca="false">C323*(1+Returns!G324)</f>
        <v>37.9444311234856</v>
      </c>
    </row>
    <row r="325" customFormat="false" ht="13.8" hidden="false" customHeight="false" outlineLevel="0" collapsed="false">
      <c r="A325" s="7" t="n">
        <v>35400</v>
      </c>
      <c r="B325" s="10" t="n">
        <f aca="false">B324*(1+Returns!F325)</f>
        <v>22.9609231344844</v>
      </c>
      <c r="C325" s="10" t="n">
        <f aca="false">C324*(1+Returns!G325)</f>
        <v>37.3068887917488</v>
      </c>
    </row>
    <row r="326" customFormat="false" ht="13.8" hidden="false" customHeight="false" outlineLevel="0" collapsed="false">
      <c r="A326" s="7" t="n">
        <v>35431</v>
      </c>
      <c r="B326" s="10" t="n">
        <f aca="false">B325*(1+Returns!F326)</f>
        <v>24.4034890522546</v>
      </c>
      <c r="C326" s="10" t="n">
        <f aca="false">C325*(1+Returns!G326)</f>
        <v>38.7673788741681</v>
      </c>
    </row>
    <row r="327" customFormat="false" ht="13.8" hidden="false" customHeight="false" outlineLevel="0" collapsed="false">
      <c r="A327" s="7" t="n">
        <v>35462</v>
      </c>
      <c r="B327" s="10" t="n">
        <f aca="false">B326*(1+Returns!F327)</f>
        <v>24.5926648993877</v>
      </c>
      <c r="C327" s="10" t="n">
        <f aca="false">C326*(1+Returns!G327)</f>
        <v>39.2890714916778</v>
      </c>
    </row>
    <row r="328" customFormat="false" ht="13.8" hidden="false" customHeight="false" outlineLevel="0" collapsed="false">
      <c r="A328" s="7" t="n">
        <v>35490</v>
      </c>
      <c r="B328" s="10" t="n">
        <f aca="false">B327*(1+Returns!F328)</f>
        <v>23.567445885062</v>
      </c>
      <c r="C328" s="10" t="n">
        <f aca="false">C327*(1+Returns!G328)</f>
        <v>37.9083356522458</v>
      </c>
    </row>
    <row r="329" customFormat="false" ht="13.8" hidden="false" customHeight="false" outlineLevel="0" collapsed="false">
      <c r="A329" s="7" t="n">
        <v>35521</v>
      </c>
      <c r="B329" s="10" t="n">
        <f aca="false">B328*(1+Returns!F329)</f>
        <v>24.9879501183383</v>
      </c>
      <c r="C329" s="10" t="n">
        <f aca="false">C328*(1+Returns!G329)</f>
        <v>39.1266337434377</v>
      </c>
    </row>
    <row r="330" customFormat="false" ht="13.8" hidden="false" customHeight="false" outlineLevel="0" collapsed="false">
      <c r="A330" s="7" t="n">
        <v>35551</v>
      </c>
      <c r="B330" s="10" t="n">
        <f aca="false">B329*(1+Returns!F330)</f>
        <v>26.5222352435543</v>
      </c>
      <c r="C330" s="10" t="n">
        <f aca="false">C329*(1+Returns!G330)</f>
        <v>42.0179745971765</v>
      </c>
    </row>
    <row r="331" customFormat="false" ht="13.8" hidden="false" customHeight="false" outlineLevel="0" collapsed="false">
      <c r="A331" s="7" t="n">
        <v>35582</v>
      </c>
      <c r="B331" s="10" t="n">
        <f aca="false">B330*(1+Returns!F331)</f>
        <v>27.6919453845008</v>
      </c>
      <c r="C331" s="10" t="n">
        <f aca="false">C330*(1+Returns!G331)</f>
        <v>43.6491123710389</v>
      </c>
    </row>
    <row r="332" customFormat="false" ht="13.8" hidden="false" customHeight="false" outlineLevel="0" collapsed="false">
      <c r="A332" s="7" t="n">
        <v>35612</v>
      </c>
      <c r="B332" s="10" t="n">
        <f aca="false">B331*(1+Returns!F332)</f>
        <v>29.9180454900701</v>
      </c>
      <c r="C332" s="10" t="n">
        <f aca="false">C331*(1+Returns!G332)</f>
        <v>47.1308274684272</v>
      </c>
    </row>
    <row r="333" customFormat="false" ht="13.8" hidden="false" customHeight="false" outlineLevel="0" collapsed="false">
      <c r="A333" s="7" t="n">
        <v>35643</v>
      </c>
      <c r="B333" s="10" t="n">
        <f aca="false">B332*(1+Returns!F333)</f>
        <v>28.2733009392535</v>
      </c>
      <c r="C333" s="10" t="n">
        <f aca="false">C332*(1+Returns!G333)</f>
        <v>45.8107872526915</v>
      </c>
    </row>
    <row r="334" customFormat="false" ht="13.8" hidden="false" customHeight="false" outlineLevel="0" collapsed="false">
      <c r="A334" s="7" t="n">
        <v>35674</v>
      </c>
      <c r="B334" s="10" t="n">
        <f aca="false">B333*(1+Returns!F334)</f>
        <v>29.7968360336661</v>
      </c>
      <c r="C334" s="10" t="n">
        <f aca="false">C333*(1+Returns!G334)</f>
        <v>48.1776015761018</v>
      </c>
    </row>
    <row r="335" customFormat="false" ht="13.8" hidden="false" customHeight="false" outlineLevel="0" collapsed="false">
      <c r="A335" s="7" t="n">
        <v>35704</v>
      </c>
      <c r="B335" s="10" t="n">
        <f aca="false">B334*(1+Returns!F335)</f>
        <v>28.8253101947884</v>
      </c>
      <c r="C335" s="10" t="n">
        <f aca="false">C334*(1+Returns!G335)</f>
        <v>46.0966182536236</v>
      </c>
    </row>
    <row r="336" customFormat="false" ht="13.8" hidden="false" customHeight="false" outlineLevel="0" collapsed="false">
      <c r="A336" s="7" t="n">
        <v>35735</v>
      </c>
      <c r="B336" s="10" t="n">
        <f aca="false">B335*(1+Returns!F336)</f>
        <v>30.1605273883212</v>
      </c>
      <c r="C336" s="10" t="n">
        <f aca="false">C335*(1+Returns!G336)</f>
        <v>47.5413784629287</v>
      </c>
    </row>
    <row r="337" customFormat="false" ht="13.8" hidden="false" customHeight="false" outlineLevel="0" collapsed="false">
      <c r="A337" s="7" t="n">
        <v>35765</v>
      </c>
      <c r="B337" s="10" t="n">
        <f aca="false">B336*(1+Returns!F337)</f>
        <v>30.6776899514487</v>
      </c>
      <c r="C337" s="10" t="n">
        <f aca="false">C336*(1+Returns!G337)</f>
        <v>48.2696648396023</v>
      </c>
    </row>
    <row r="338" customFormat="false" ht="13.8" hidden="false" customHeight="false" outlineLevel="0" collapsed="false">
      <c r="A338" s="7" t="n">
        <v>35796</v>
      </c>
      <c r="B338" s="10" t="n">
        <f aca="false">B337*(1+Returns!F338)</f>
        <v>31.0456381647264</v>
      </c>
      <c r="C338" s="10" t="n">
        <f aca="false">C337*(1+Returns!G338)</f>
        <v>48.1573895991854</v>
      </c>
    </row>
    <row r="339" customFormat="false" ht="13.8" hidden="false" customHeight="false" outlineLevel="0" collapsed="false">
      <c r="A339" s="7" t="n">
        <v>35827</v>
      </c>
      <c r="B339" s="10" t="n">
        <f aca="false">B338*(1+Returns!F339)</f>
        <v>33.2795581045075</v>
      </c>
      <c r="C339" s="10" t="n">
        <f aca="false">C338*(1+Returns!G339)</f>
        <v>51.9553221299251</v>
      </c>
    </row>
    <row r="340" customFormat="false" ht="13.8" hidden="false" customHeight="false" outlineLevel="0" collapsed="false">
      <c r="A340" s="7" t="n">
        <v>35855</v>
      </c>
      <c r="B340" s="10" t="n">
        <f aca="false">B339*(1+Returns!F340)</f>
        <v>34.9879974993605</v>
      </c>
      <c r="C340" s="10" t="n">
        <f aca="false">C339*(1+Returns!G340)</f>
        <v>54.5623882390827</v>
      </c>
    </row>
    <row r="341" customFormat="false" ht="13.8" hidden="false" customHeight="false" outlineLevel="0" collapsed="false">
      <c r="A341" s="7" t="n">
        <v>35886</v>
      </c>
      <c r="B341" s="10" t="n">
        <f aca="false">B340*(1+Returns!F341)</f>
        <v>35.3825221591633</v>
      </c>
      <c r="C341" s="10" t="n">
        <f aca="false">C340*(1+Returns!G341)</f>
        <v>54.792041331181</v>
      </c>
    </row>
    <row r="342" customFormat="false" ht="13.8" hidden="false" customHeight="false" outlineLevel="0" collapsed="false">
      <c r="A342" s="7" t="n">
        <v>35916</v>
      </c>
      <c r="B342" s="10" t="n">
        <f aca="false">B341*(1+Returns!F342)</f>
        <v>34.7571714625222</v>
      </c>
      <c r="C342" s="10" t="n">
        <f aca="false">C341*(1+Returns!G342)</f>
        <v>53.4259661567119</v>
      </c>
    </row>
    <row r="343" customFormat="false" ht="13.8" hidden="false" customHeight="false" outlineLevel="0" collapsed="false">
      <c r="A343" s="7" t="n">
        <v>35947</v>
      </c>
      <c r="B343" s="10" t="n">
        <f aca="false">B342*(1+Returns!F343)</f>
        <v>36.1811727773417</v>
      </c>
      <c r="C343" s="10" t="n">
        <f aca="false">C342*(1+Returns!G343)</f>
        <v>54.0048899259861</v>
      </c>
    </row>
    <row r="344" customFormat="false" ht="13.8" hidden="false" customHeight="false" outlineLevel="0" collapsed="false">
      <c r="A344" s="7" t="n">
        <v>35977</v>
      </c>
      <c r="B344" s="10" t="n">
        <f aca="false">B343*(1+Returns!F344)</f>
        <v>35.8154173017356</v>
      </c>
      <c r="C344" s="10" t="n">
        <f aca="false">C343*(1+Returns!G344)</f>
        <v>51.6043185638861</v>
      </c>
    </row>
    <row r="345" customFormat="false" ht="13.8" hidden="false" customHeight="false" outlineLevel="0" collapsed="false">
      <c r="A345" s="7" t="n">
        <v>36008</v>
      </c>
      <c r="B345" s="10" t="n">
        <f aca="false">B344*(1+Returns!F345)</f>
        <v>30.689371515842</v>
      </c>
      <c r="C345" s="10" t="n">
        <f aca="false">C344*(1+Returns!G345)</f>
        <v>43.9433478471658</v>
      </c>
    </row>
    <row r="346" customFormat="false" ht="13.8" hidden="false" customHeight="false" outlineLevel="0" collapsed="false">
      <c r="A346" s="7" t="n">
        <v>36039</v>
      </c>
      <c r="B346" s="10" t="n">
        <f aca="false">B345*(1+Returns!F346)</f>
        <v>32.6282032507268</v>
      </c>
      <c r="C346" s="10" t="n">
        <f aca="false">C345*(1+Returns!G346)</f>
        <v>46.5949333996116</v>
      </c>
    </row>
    <row r="347" customFormat="false" ht="13.8" hidden="false" customHeight="false" outlineLevel="0" collapsed="false">
      <c r="A347" s="7" t="n">
        <v>36069</v>
      </c>
      <c r="B347" s="10" t="n">
        <f aca="false">B346*(1+Returns!F347)</f>
        <v>35.2420812413458</v>
      </c>
      <c r="C347" s="10" t="n">
        <f aca="false">C346*(1+Returns!G347)</f>
        <v>50.7344272828331</v>
      </c>
    </row>
    <row r="348" customFormat="false" ht="13.8" hidden="false" customHeight="false" outlineLevel="0" collapsed="false">
      <c r="A348" s="7" t="n">
        <v>36100</v>
      </c>
      <c r="B348" s="10" t="n">
        <f aca="false">B347*(1+Returns!F348)</f>
        <v>37.4329052217141</v>
      </c>
      <c r="C348" s="10" t="n">
        <f aca="false">C347*(1+Returns!G348)</f>
        <v>53.3071700903456</v>
      </c>
    </row>
    <row r="349" customFormat="false" ht="13.8" hidden="false" customHeight="false" outlineLevel="0" collapsed="false">
      <c r="A349" s="7" t="n">
        <v>36130</v>
      </c>
      <c r="B349" s="10" t="n">
        <f aca="false">B348*(1+Returns!F349)</f>
        <v>39.6666389750094</v>
      </c>
      <c r="C349" s="10" t="n">
        <f aca="false">C348*(1+Returns!G349)</f>
        <v>54.857449210913</v>
      </c>
    </row>
    <row r="350" customFormat="false" ht="13.8" hidden="false" customHeight="false" outlineLevel="0" collapsed="false">
      <c r="A350" s="7" t="n">
        <v>36161</v>
      </c>
      <c r="B350" s="10" t="n">
        <f aca="false">B349*(1+Returns!F350)</f>
        <v>41.3643711231398</v>
      </c>
      <c r="C350" s="10" t="n">
        <f aca="false">C349*(1+Returns!G350)</f>
        <v>55.4524879625038</v>
      </c>
    </row>
    <row r="351" customFormat="false" ht="13.8" hidden="false" customHeight="false" outlineLevel="0" collapsed="false">
      <c r="A351" s="7" t="n">
        <v>36192</v>
      </c>
      <c r="B351" s="10" t="n">
        <f aca="false">B350*(1+Returns!F351)</f>
        <v>40.0433999313223</v>
      </c>
      <c r="C351" s="10" t="n">
        <f aca="false">C350*(1+Returns!G351)</f>
        <v>54.3783178181821</v>
      </c>
    </row>
    <row r="352" customFormat="false" ht="13.8" hidden="false" customHeight="false" outlineLevel="0" collapsed="false">
      <c r="A352" s="7" t="n">
        <v>36220</v>
      </c>
      <c r="B352" s="10" t="n">
        <f aca="false">B351*(1+Returns!F352)</f>
        <v>41.6042516172454</v>
      </c>
      <c r="C352" s="10" t="n">
        <f aca="false">C351*(1+Returns!G352)</f>
        <v>55.5667559540985</v>
      </c>
    </row>
    <row r="353" customFormat="false" ht="13.8" hidden="false" customHeight="false" outlineLevel="0" collapsed="false">
      <c r="A353" s="7" t="n">
        <v>36251</v>
      </c>
      <c r="B353" s="10" t="n">
        <f aca="false">B352*(1+Returns!F353)</f>
        <v>43.1668657037375</v>
      </c>
      <c r="C353" s="10" t="n">
        <f aca="false">C352*(1+Returns!G353)</f>
        <v>60.9530638757531</v>
      </c>
    </row>
    <row r="354" customFormat="false" ht="13.8" hidden="false" customHeight="false" outlineLevel="0" collapsed="false">
      <c r="A354" s="7" t="n">
        <v>36281</v>
      </c>
      <c r="B354" s="10" t="n">
        <f aca="false">B353*(1+Returns!F354)</f>
        <v>42.1671642609046</v>
      </c>
      <c r="C354" s="10" t="n">
        <f aca="false">C353*(1+Returns!G354)</f>
        <v>60.8852840687233</v>
      </c>
    </row>
    <row r="355" customFormat="false" ht="13.8" hidden="false" customHeight="false" outlineLevel="0" collapsed="false">
      <c r="A355" s="7" t="n">
        <v>36312</v>
      </c>
      <c r="B355" s="10" t="n">
        <f aca="false">B354*(1+Returns!F355)</f>
        <v>44.4623651787899</v>
      </c>
      <c r="C355" s="10" t="n">
        <f aca="false">C354*(1+Returns!G355)</f>
        <v>63.396741151274</v>
      </c>
    </row>
    <row r="356" customFormat="false" ht="13.8" hidden="false" customHeight="false" outlineLevel="0" collapsed="false">
      <c r="A356" s="7" t="n">
        <v>36342</v>
      </c>
      <c r="B356" s="10" t="n">
        <f aca="false">B355*(1+Returns!F356)</f>
        <v>43.1187125030869</v>
      </c>
      <c r="C356" s="10" t="n">
        <f aca="false">C355*(1+Returns!G356)</f>
        <v>61.2060667607918</v>
      </c>
    </row>
    <row r="357" customFormat="false" ht="13.8" hidden="false" customHeight="false" outlineLevel="0" collapsed="false">
      <c r="A357" s="7" t="n">
        <v>36373</v>
      </c>
      <c r="B357" s="10" t="n">
        <f aca="false">B356*(1+Returns!F357)</f>
        <v>42.9029464657214</v>
      </c>
      <c r="C357" s="10" t="n">
        <f aca="false">C356*(1+Returns!G357)</f>
        <v>59.8452722784991</v>
      </c>
    </row>
    <row r="358" customFormat="false" ht="13.8" hidden="false" customHeight="false" outlineLevel="0" collapsed="false">
      <c r="A358" s="7" t="n">
        <v>36404</v>
      </c>
      <c r="B358" s="10" t="n">
        <f aca="false">B357*(1+Returns!F358)</f>
        <v>41.6982746319104</v>
      </c>
      <c r="C358" s="10" t="n">
        <f aca="false">C357*(1+Returns!G358)</f>
        <v>57.4871890149094</v>
      </c>
    </row>
    <row r="359" customFormat="false" ht="13.8" hidden="false" customHeight="false" outlineLevel="0" collapsed="false">
      <c r="A359" s="7" t="n">
        <v>36434</v>
      </c>
      <c r="B359" s="10" t="n">
        <f aca="false">B358*(1+Returns!F359)</f>
        <v>44.3768883977151</v>
      </c>
      <c r="C359" s="10" t="n">
        <f aca="false">C358*(1+Returns!G359)</f>
        <v>59.2675672587011</v>
      </c>
    </row>
    <row r="360" customFormat="false" ht="13.8" hidden="false" customHeight="false" outlineLevel="0" collapsed="false">
      <c r="A360" s="7" t="n">
        <v>36465</v>
      </c>
      <c r="B360" s="10" t="n">
        <f aca="false">B359*(1+Returns!F360)</f>
        <v>45.3009039679323</v>
      </c>
      <c r="C360" s="10" t="n">
        <f aca="false">C359*(1+Returns!G360)</f>
        <v>59.1649158322091</v>
      </c>
    </row>
    <row r="361" customFormat="false" ht="13.8" hidden="false" customHeight="false" outlineLevel="0" collapsed="false">
      <c r="A361" s="7" t="n">
        <v>36495</v>
      </c>
      <c r="B361" s="10" t="n">
        <f aca="false">B360*(1+Returns!F361)</f>
        <v>48.1357892373416</v>
      </c>
      <c r="C361" s="10" t="n">
        <f aca="false">C360*(1+Returns!G361)</f>
        <v>61.7803009365719</v>
      </c>
    </row>
    <row r="362" customFormat="false" ht="13.8" hidden="false" customHeight="false" outlineLevel="0" collapsed="false">
      <c r="A362" s="7" t="n">
        <v>36526</v>
      </c>
      <c r="B362" s="10" t="n">
        <f aca="false">B361*(1+Returns!F362)</f>
        <v>45.7468100174923</v>
      </c>
      <c r="C362" s="10" t="n">
        <f aca="false">C361*(1+Returns!G362)</f>
        <v>58.2434404882541</v>
      </c>
    </row>
    <row r="363" customFormat="false" ht="13.8" hidden="false" customHeight="false" outlineLevel="0" collapsed="false">
      <c r="A363" s="7" t="n">
        <v>36557</v>
      </c>
      <c r="B363" s="10" t="n">
        <f aca="false">B362*(1+Returns!F363)</f>
        <v>44.9481622082069</v>
      </c>
      <c r="C363" s="10" t="n">
        <f aca="false">C362*(1+Returns!G363)</f>
        <v>55.6167195656743</v>
      </c>
    </row>
    <row r="364" customFormat="false" ht="13.8" hidden="false" customHeight="false" outlineLevel="0" collapsed="false">
      <c r="A364" s="7" t="n">
        <v>36586</v>
      </c>
      <c r="B364" s="10" t="n">
        <f aca="false">B363*(1+Returns!F364)</f>
        <v>49.3750168077688</v>
      </c>
      <c r="C364" s="10" t="n">
        <f aca="false">C363*(1+Returns!G364)</f>
        <v>61.7312773314441</v>
      </c>
    </row>
    <row r="365" customFormat="false" ht="13.8" hidden="false" customHeight="false" outlineLevel="0" collapsed="false">
      <c r="A365" s="7" t="n">
        <v>36617</v>
      </c>
      <c r="B365" s="10" t="n">
        <f aca="false">B364*(1+Returns!F365)</f>
        <v>47.815605651929</v>
      </c>
      <c r="C365" s="10" t="n">
        <f aca="false">C364*(1+Returns!G365)</f>
        <v>62.2296956646182</v>
      </c>
    </row>
    <row r="366" customFormat="false" ht="13.8" hidden="false" customHeight="false" outlineLevel="0" collapsed="false">
      <c r="A366" s="7" t="n">
        <v>36647</v>
      </c>
      <c r="B366" s="10" t="n">
        <f aca="false">B365*(1+Returns!F366)</f>
        <v>46.7491263834684</v>
      </c>
      <c r="C366" s="10" t="n">
        <f aca="false">C365*(1+Returns!G366)</f>
        <v>63.2662557053037</v>
      </c>
    </row>
    <row r="367" customFormat="false" ht="13.8" hidden="false" customHeight="false" outlineLevel="0" collapsed="false">
      <c r="A367" s="7" t="n">
        <v>36678</v>
      </c>
      <c r="B367" s="10" t="n">
        <f aca="false">B366*(1+Returns!F367)</f>
        <v>47.9748417281166</v>
      </c>
      <c r="C367" s="10" t="n">
        <f aca="false">C366*(1+Returns!G367)</f>
        <v>62.0259207622012</v>
      </c>
    </row>
    <row r="368" customFormat="false" ht="13.8" hidden="false" customHeight="false" outlineLevel="0" collapsed="false">
      <c r="A368" s="7" t="n">
        <v>36708</v>
      </c>
      <c r="B368" s="10" t="n">
        <f aca="false">B367*(1+Returns!F368)</f>
        <v>47.3610036282053</v>
      </c>
      <c r="C368" s="10" t="n">
        <f aca="false">C367*(1+Returns!G368)</f>
        <v>62.2657129718679</v>
      </c>
    </row>
    <row r="369" customFormat="false" ht="13.8" hidden="false" customHeight="false" outlineLevel="0" collapsed="false">
      <c r="A369" s="7" t="n">
        <v>36739</v>
      </c>
      <c r="B369" s="10" t="n">
        <f aca="false">B368*(1+Returns!F369)</f>
        <v>50.3255182893092</v>
      </c>
      <c r="C369" s="10" t="n">
        <f aca="false">C368*(1+Returns!G369)</f>
        <v>66.8823419944541</v>
      </c>
    </row>
    <row r="370" customFormat="false" ht="13.8" hidden="false" customHeight="false" outlineLevel="0" collapsed="false">
      <c r="A370" s="7" t="n">
        <v>36770</v>
      </c>
      <c r="B370" s="10" t="n">
        <f aca="false">B369*(1+Returns!F370)</f>
        <v>47.7041626926557</v>
      </c>
      <c r="C370" s="10" t="n">
        <f aca="false">C369*(1+Returns!G370)</f>
        <v>65.9584962044847</v>
      </c>
    </row>
    <row r="371" customFormat="false" ht="13.8" hidden="false" customHeight="false" outlineLevel="0" collapsed="false">
      <c r="A371" s="7" t="n">
        <v>36800</v>
      </c>
      <c r="B371" s="10" t="n">
        <f aca="false">B370*(1+Returns!F371)</f>
        <v>47.5076215423619</v>
      </c>
      <c r="C371" s="10" t="n">
        <f aca="false">C370*(1+Returns!G371)</f>
        <v>67.3500225989107</v>
      </c>
    </row>
    <row r="372" customFormat="false" ht="13.8" hidden="false" customHeight="false" outlineLevel="0" collapsed="false">
      <c r="A372" s="7" t="n">
        <v>36831</v>
      </c>
      <c r="B372" s="10" t="n">
        <f aca="false">B371*(1+Returns!F372)</f>
        <v>43.7892950194843</v>
      </c>
      <c r="C372" s="10" t="n">
        <f aca="false">C371*(1+Returns!G372)</f>
        <v>64.2887620217224</v>
      </c>
    </row>
    <row r="373" customFormat="false" ht="13.8" hidden="false" customHeight="false" outlineLevel="0" collapsed="false">
      <c r="A373" s="7" t="n">
        <v>36861</v>
      </c>
      <c r="B373" s="10" t="n">
        <f aca="false">B372*(1+Returns!F373)</f>
        <v>44.0397697869958</v>
      </c>
      <c r="C373" s="10" t="n">
        <f aca="false">C372*(1+Returns!G373)</f>
        <v>68.5801011754344</v>
      </c>
    </row>
    <row r="374" customFormat="false" ht="13.8" hidden="false" customHeight="false" outlineLevel="0" collapsed="false">
      <c r="A374" s="7" t="n">
        <v>36892</v>
      </c>
      <c r="B374" s="10" t="n">
        <f aca="false">B373*(1+Returns!F374)</f>
        <v>45.4654252145404</v>
      </c>
      <c r="C374" s="10" t="n">
        <f aca="false">C373*(1+Returns!G374)</f>
        <v>72.2431701195179</v>
      </c>
    </row>
    <row r="375" customFormat="false" ht="13.8" hidden="false" customHeight="false" outlineLevel="0" collapsed="false">
      <c r="A375" s="7" t="n">
        <v>36923</v>
      </c>
      <c r="B375" s="10" t="n">
        <f aca="false">B374*(1+Returns!F375)</f>
        <v>41.3302538604275</v>
      </c>
      <c r="C375" s="10" t="n">
        <f aca="false">C374*(1+Returns!G375)</f>
        <v>69.0103604998396</v>
      </c>
    </row>
    <row r="376" customFormat="false" ht="13.8" hidden="false" customHeight="false" outlineLevel="0" collapsed="false">
      <c r="A376" s="7" t="n">
        <v>36951</v>
      </c>
      <c r="B376" s="10" t="n">
        <f aca="false">B375*(1+Returns!F376)</f>
        <v>38.6972687079951</v>
      </c>
      <c r="C376" s="10" t="n">
        <f aca="false">C375*(1+Returns!G376)</f>
        <v>65.5711601739696</v>
      </c>
    </row>
    <row r="377" customFormat="false" ht="13.8" hidden="false" customHeight="false" outlineLevel="0" collapsed="false">
      <c r="A377" s="7" t="n">
        <v>36982</v>
      </c>
      <c r="B377" s="10" t="n">
        <f aca="false">B376*(1+Returns!F377)</f>
        <v>41.7088449479262</v>
      </c>
      <c r="C377" s="10" t="n">
        <f aca="false">C376*(1+Returns!G377)</f>
        <v>71.1259554369472</v>
      </c>
    </row>
    <row r="378" customFormat="false" ht="13.8" hidden="false" customHeight="false" outlineLevel="0" collapsed="false">
      <c r="A378" s="7" t="n">
        <v>37012</v>
      </c>
      <c r="B378" s="10" t="n">
        <f aca="false">B377*(1+Returns!F378)</f>
        <v>41.994925915424</v>
      </c>
      <c r="C378" s="10" t="n">
        <f aca="false">C377*(1+Returns!G378)</f>
        <v>72.3831778252507</v>
      </c>
    </row>
    <row r="379" customFormat="false" ht="13.8" hidden="false" customHeight="false" outlineLevel="0" collapsed="false">
      <c r="A379" s="7" t="n">
        <v>37043</v>
      </c>
      <c r="B379" s="10" t="n">
        <f aca="false">B378*(1+Returns!F379)</f>
        <v>40.9658402558665</v>
      </c>
      <c r="C379" s="10" t="n">
        <f aca="false">C378*(1+Returns!G379)</f>
        <v>71.2393064660782</v>
      </c>
    </row>
    <row r="380" customFormat="false" ht="13.8" hidden="false" customHeight="false" outlineLevel="0" collapsed="false">
      <c r="A380" s="7" t="n">
        <v>37073</v>
      </c>
      <c r="B380" s="10" t="n">
        <f aca="false">B379*(1+Returns!F380)</f>
        <v>40.5841615222026</v>
      </c>
      <c r="C380" s="10" t="n">
        <f aca="false">C379*(1+Returns!G380)</f>
        <v>70.5853296327196</v>
      </c>
    </row>
    <row r="381" customFormat="false" ht="13.8" hidden="false" customHeight="false" outlineLevel="0" collapsed="false">
      <c r="A381" s="7" t="n">
        <v>37104</v>
      </c>
      <c r="B381" s="10" t="n">
        <f aca="false">B380*(1+Returns!F381)</f>
        <v>38.0097052360417</v>
      </c>
      <c r="C381" s="10" t="n">
        <f aca="false">C380*(1+Returns!G381)</f>
        <v>67.5036447262847</v>
      </c>
    </row>
    <row r="382" customFormat="false" ht="13.8" hidden="false" customHeight="false" outlineLevel="0" collapsed="false">
      <c r="A382" s="7" t="n">
        <v>37135</v>
      </c>
      <c r="B382" s="10" t="n">
        <f aca="false">B381*(1+Returns!F382)</f>
        <v>34.9552073135681</v>
      </c>
      <c r="C382" s="10" t="n">
        <f aca="false">C381*(1+Returns!G382)</f>
        <v>59.1013310599146</v>
      </c>
    </row>
    <row r="383" customFormat="false" ht="13.8" hidden="false" customHeight="false" outlineLevel="0" collapsed="false">
      <c r="A383" s="7" t="n">
        <v>37165</v>
      </c>
      <c r="B383" s="10" t="n">
        <f aca="false">B382*(1+Returns!F383)</f>
        <v>35.6382320644753</v>
      </c>
      <c r="C383" s="10" t="n">
        <f aca="false">C382*(1+Returns!G383)</f>
        <v>61.590501820165</v>
      </c>
    </row>
    <row r="384" customFormat="false" ht="13.8" hidden="false" customHeight="false" outlineLevel="0" collapsed="false">
      <c r="A384" s="7" t="n">
        <v>37196</v>
      </c>
      <c r="B384" s="10" t="n">
        <f aca="false">B383*(1+Returns!F384)</f>
        <v>38.4460614541391</v>
      </c>
      <c r="C384" s="10" t="n">
        <f aca="false">C383*(1+Returns!G384)</f>
        <v>67.8895472128188</v>
      </c>
    </row>
    <row r="385" customFormat="false" ht="13.8" hidden="false" customHeight="false" outlineLevel="0" collapsed="false">
      <c r="A385" s="7" t="n">
        <v>37226</v>
      </c>
      <c r="B385" s="10" t="n">
        <f aca="false">B384*(1+Returns!F385)</f>
        <v>38.7940367563605</v>
      </c>
      <c r="C385" s="10" t="n">
        <f aca="false">C384*(1+Returns!G385)</f>
        <v>69.9650664502091</v>
      </c>
    </row>
    <row r="386" customFormat="false" ht="13.8" hidden="false" customHeight="false" outlineLevel="0" collapsed="false">
      <c r="A386" s="7" t="n">
        <v>37257</v>
      </c>
      <c r="B386" s="10" t="n">
        <f aca="false">B385*(1+Returns!F386)</f>
        <v>38.2383509738624</v>
      </c>
      <c r="C386" s="10" t="n">
        <f aca="false">C385*(1+Returns!G386)</f>
        <v>69.7882647272894</v>
      </c>
    </row>
    <row r="387" customFormat="false" ht="13.8" hidden="false" customHeight="false" outlineLevel="0" collapsed="false">
      <c r="A387" s="7" t="n">
        <v>37288</v>
      </c>
      <c r="B387" s="10" t="n">
        <f aca="false">B386*(1+Returns!F387)</f>
        <v>37.4934296585406</v>
      </c>
      <c r="C387" s="10" t="n">
        <f aca="false">C386*(1+Returns!G387)</f>
        <v>69.0001458537241</v>
      </c>
    </row>
    <row r="388" customFormat="false" ht="13.8" hidden="false" customHeight="false" outlineLevel="0" collapsed="false">
      <c r="A388" s="7" t="n">
        <v>37316</v>
      </c>
      <c r="B388" s="10" t="n">
        <f aca="false">B387*(1+Returns!F388)</f>
        <v>38.9021327976712</v>
      </c>
      <c r="C388" s="10" t="n">
        <f aca="false">C387*(1+Returns!G388)</f>
        <v>73.6483406791602</v>
      </c>
    </row>
    <row r="389" customFormat="false" ht="13.8" hidden="false" customHeight="false" outlineLevel="0" collapsed="false">
      <c r="A389" s="7" t="n">
        <v>37347</v>
      </c>
      <c r="B389" s="10" t="n">
        <f aca="false">B388*(1+Returns!F389)</f>
        <v>36.5290637948805</v>
      </c>
      <c r="C389" s="10" t="n">
        <f aca="false">C388*(1+Returns!G389)</f>
        <v>70.9718126821982</v>
      </c>
    </row>
    <row r="390" customFormat="false" ht="13.8" hidden="false" customHeight="false" outlineLevel="0" collapsed="false">
      <c r="A390" s="7" t="n">
        <v>37377</v>
      </c>
      <c r="B390" s="10" t="n">
        <f aca="false">B389*(1+Returns!F390)</f>
        <v>36.2441370972804</v>
      </c>
      <c r="C390" s="10" t="n">
        <f aca="false">C389*(1+Returns!G390)</f>
        <v>70.1019821459652</v>
      </c>
    </row>
    <row r="391" customFormat="false" ht="13.8" hidden="false" customHeight="false" outlineLevel="0" collapsed="false">
      <c r="A391" s="7" t="n">
        <v>37408</v>
      </c>
      <c r="B391" s="10" t="n">
        <f aca="false">B390*(1+Returns!F391)</f>
        <v>33.6581541595266</v>
      </c>
      <c r="C391" s="10" t="n">
        <f aca="false">C390*(1+Returns!G391)</f>
        <v>64.4465047363394</v>
      </c>
    </row>
    <row r="392" customFormat="false" ht="13.8" hidden="false" customHeight="false" outlineLevel="0" collapsed="false">
      <c r="A392" s="7" t="n">
        <v>37438</v>
      </c>
      <c r="B392" s="10" t="n">
        <f aca="false">B391*(1+Returns!F392)</f>
        <v>31.1678883077257</v>
      </c>
      <c r="C392" s="10" t="n">
        <f aca="false">C391*(1+Returns!G392)</f>
        <v>57.6648634894392</v>
      </c>
    </row>
    <row r="393" customFormat="false" ht="13.8" hidden="false" customHeight="false" outlineLevel="0" collapsed="false">
      <c r="A393" s="7" t="n">
        <v>37469</v>
      </c>
      <c r="B393" s="10" t="n">
        <f aca="false">B392*(1+Returns!F393)</f>
        <v>31.3879647670665</v>
      </c>
      <c r="C393" s="10" t="n">
        <f aca="false">C392*(1+Returns!G393)</f>
        <v>58.3707390834134</v>
      </c>
    </row>
    <row r="394" customFormat="false" ht="13.8" hidden="false" customHeight="false" outlineLevel="0" collapsed="false">
      <c r="A394" s="7" t="n">
        <v>37500</v>
      </c>
      <c r="B394" s="10" t="n">
        <f aca="false">B393*(1+Returns!F394)</f>
        <v>27.9677751862231</v>
      </c>
      <c r="C394" s="10" t="n">
        <f aca="false">C393*(1+Returns!G394)</f>
        <v>51.6400675304441</v>
      </c>
    </row>
    <row r="395" customFormat="false" ht="13.8" hidden="false" customHeight="false" outlineLevel="0" collapsed="false">
      <c r="A395" s="7" t="n">
        <v>37530</v>
      </c>
      <c r="B395" s="10" t="n">
        <f aca="false">B394*(1+Returns!F395)</f>
        <v>30.4456920999473</v>
      </c>
      <c r="C395" s="10" t="n">
        <f aca="false">C394*(1+Returns!G395)</f>
        <v>55.4130457844209</v>
      </c>
    </row>
    <row r="396" customFormat="false" ht="13.8" hidden="false" customHeight="false" outlineLevel="0" collapsed="false">
      <c r="A396" s="7" t="n">
        <v>37561</v>
      </c>
      <c r="B396" s="10" t="n">
        <f aca="false">B395*(1+Returns!F396)</f>
        <v>32.2425664019941</v>
      </c>
      <c r="C396" s="10" t="n">
        <f aca="false">C395*(1+Returns!G396)</f>
        <v>61.5223894951991</v>
      </c>
    </row>
    <row r="397" customFormat="false" ht="13.8" hidden="false" customHeight="false" outlineLevel="0" collapsed="false">
      <c r="A397" s="7" t="n">
        <v>37591</v>
      </c>
      <c r="B397" s="10" t="n">
        <f aca="false">B396*(1+Returns!F397)</f>
        <v>30.3456072502992</v>
      </c>
      <c r="C397" s="10" t="n">
        <f aca="false">C396*(1+Returns!G397)</f>
        <v>58.3635839289576</v>
      </c>
    </row>
    <row r="398" customFormat="false" ht="13.8" hidden="false" customHeight="false" outlineLevel="0" collapsed="false">
      <c r="A398" s="7" t="n">
        <v>37622</v>
      </c>
      <c r="B398" s="10" t="n">
        <f aca="false">B397*(1+Returns!F398)</f>
        <v>29.5390513551935</v>
      </c>
      <c r="C398" s="10" t="n">
        <f aca="false">C397*(1+Returns!G398)</f>
        <v>56.873853449171</v>
      </c>
    </row>
    <row r="399" customFormat="false" ht="13.8" hidden="false" customHeight="false" outlineLevel="0" collapsed="false">
      <c r="A399" s="7" t="n">
        <v>37653</v>
      </c>
      <c r="B399" s="10" t="n">
        <f aca="false">B398*(1+Returns!F399)</f>
        <v>29.0886989782322</v>
      </c>
      <c r="C399" s="10" t="n">
        <f aca="false">C398*(1+Returns!G399)</f>
        <v>55.6053958956941</v>
      </c>
    </row>
    <row r="400" customFormat="false" ht="13.8" hidden="false" customHeight="false" outlineLevel="0" collapsed="false">
      <c r="A400" s="7" t="n">
        <v>37681</v>
      </c>
      <c r="B400" s="10" t="n">
        <f aca="false">B399*(1+Returns!F400)</f>
        <v>29.3885452872998</v>
      </c>
      <c r="C400" s="10" t="n">
        <f aca="false">C399*(1+Returns!G400)</f>
        <v>55.8881493338237</v>
      </c>
    </row>
    <row r="401" customFormat="false" ht="13.8" hidden="false" customHeight="false" outlineLevel="0" collapsed="false">
      <c r="A401" s="7" t="n">
        <v>37712</v>
      </c>
      <c r="B401" s="10" t="n">
        <f aca="false">B400*(1+Returns!F401)</f>
        <v>31.8211527349108</v>
      </c>
      <c r="C401" s="10" t="n">
        <f aca="false">C400*(1+Returns!G401)</f>
        <v>61.6730757832185</v>
      </c>
    </row>
    <row r="402" customFormat="false" ht="13.8" hidden="false" customHeight="false" outlineLevel="0" collapsed="false">
      <c r="A402" s="7" t="n">
        <v>37742</v>
      </c>
      <c r="B402" s="10" t="n">
        <f aca="false">B401*(1+Returns!F402)</f>
        <v>33.5156609391975</v>
      </c>
      <c r="C402" s="10" t="n">
        <f aca="false">C401*(1+Returns!G402)</f>
        <v>67.5981931929396</v>
      </c>
    </row>
    <row r="403" customFormat="false" ht="13.8" hidden="false" customHeight="false" outlineLevel="0" collapsed="false">
      <c r="A403" s="7" t="n">
        <v>37773</v>
      </c>
      <c r="B403" s="10" t="n">
        <f aca="false">B402*(1+Returns!F403)</f>
        <v>33.9451976497942</v>
      </c>
      <c r="C403" s="10" t="n">
        <f aca="false">C402*(1+Returns!G403)</f>
        <v>68.1152517726724</v>
      </c>
    </row>
    <row r="404" customFormat="false" ht="13.8" hidden="false" customHeight="false" outlineLevel="0" collapsed="false">
      <c r="A404" s="7" t="n">
        <v>37803</v>
      </c>
      <c r="B404" s="10" t="n">
        <f aca="false">B403*(1+Returns!F404)</f>
        <v>34.5539029340504</v>
      </c>
      <c r="C404" s="10" t="n">
        <f aca="false">C403*(1+Returns!G404)</f>
        <v>70.0476814654631</v>
      </c>
    </row>
    <row r="405" customFormat="false" ht="13.8" hidden="false" customHeight="false" outlineLevel="0" collapsed="false">
      <c r="A405" s="7" t="n">
        <v>37834</v>
      </c>
      <c r="B405" s="10" t="n">
        <f aca="false">B404*(1+Returns!F405)</f>
        <v>35.2310557698489</v>
      </c>
      <c r="C405" s="10" t="n">
        <f aca="false">C404*(1+Returns!G405)</f>
        <v>73.1720882495487</v>
      </c>
    </row>
    <row r="406" customFormat="false" ht="13.8" hidden="false" customHeight="false" outlineLevel="0" collapsed="false">
      <c r="A406" s="7" t="n">
        <v>37865</v>
      </c>
      <c r="B406" s="10" t="n">
        <f aca="false">B405*(1+Returns!F406)</f>
        <v>34.8527799240481</v>
      </c>
      <c r="C406" s="10" t="n">
        <f aca="false">C405*(1+Returns!G406)</f>
        <v>71.9602121239596</v>
      </c>
    </row>
    <row r="407" customFormat="false" ht="13.8" hidden="false" customHeight="false" outlineLevel="0" collapsed="false">
      <c r="A407" s="7" t="n">
        <v>37895</v>
      </c>
      <c r="B407" s="10" t="n">
        <f aca="false">B406*(1+Returns!F407)</f>
        <v>36.7892003766282</v>
      </c>
      <c r="C407" s="10" t="n">
        <f aca="false">C406*(1+Returns!G407)</f>
        <v>77.0685236622153</v>
      </c>
    </row>
    <row r="408" customFormat="false" ht="13.8" hidden="false" customHeight="false" outlineLevel="0" collapsed="false">
      <c r="A408" s="7" t="n">
        <v>37926</v>
      </c>
      <c r="B408" s="10" t="n">
        <f aca="false">B407*(1+Returns!F408)</f>
        <v>37.1298315829154</v>
      </c>
      <c r="C408" s="10" t="n">
        <f aca="false">C407*(1+Returns!G408)</f>
        <v>78.7075399549396</v>
      </c>
    </row>
    <row r="409" customFormat="false" ht="13.8" hidden="false" customHeight="false" outlineLevel="0" collapsed="false">
      <c r="A409" s="7" t="n">
        <v>37956</v>
      </c>
      <c r="B409" s="10" t="n">
        <f aca="false">B408*(1+Returns!F409)</f>
        <v>39.0524142622787</v>
      </c>
      <c r="C409" s="10" t="n">
        <f aca="false">C408*(1+Returns!G409)</f>
        <v>82.8921050241839</v>
      </c>
    </row>
    <row r="410" customFormat="false" ht="13.8" hidden="false" customHeight="false" outlineLevel="0" collapsed="false">
      <c r="A410" s="7" t="n">
        <v>37987</v>
      </c>
      <c r="B410" s="10" t="n">
        <f aca="false">B409*(1+Returns!F410)</f>
        <v>39.7974562215745</v>
      </c>
      <c r="C410" s="10" t="n">
        <f aca="false">C409*(1+Returns!G410)</f>
        <v>84.8990886710295</v>
      </c>
    </row>
    <row r="411" customFormat="false" ht="13.8" hidden="false" customHeight="false" outlineLevel="0" collapsed="false">
      <c r="A411" s="7" t="n">
        <v>38018</v>
      </c>
      <c r="B411" s="10" t="n">
        <f aca="false">B410*(1+Returns!F411)</f>
        <v>40.3706589835338</v>
      </c>
      <c r="C411" s="10" t="n">
        <f aca="false">C410*(1+Returns!G411)</f>
        <v>86.6736494224313</v>
      </c>
    </row>
    <row r="412" customFormat="false" ht="13.8" hidden="false" customHeight="false" outlineLevel="0" collapsed="false">
      <c r="A412" s="7" t="n">
        <v>38047</v>
      </c>
      <c r="B412" s="10" t="n">
        <f aca="false">B411*(1+Returns!F412)</f>
        <v>39.7658257706425</v>
      </c>
      <c r="C412" s="10" t="n">
        <f aca="false">C411*(1+Returns!G412)</f>
        <v>86.170075519287</v>
      </c>
    </row>
    <row r="413" customFormat="false" ht="13.8" hidden="false" customHeight="false" outlineLevel="0" collapsed="false">
      <c r="A413" s="7" t="n">
        <v>38078</v>
      </c>
      <c r="B413" s="10" t="n">
        <f aca="false">B412*(1+Returns!F413)</f>
        <v>39.1461151418328</v>
      </c>
      <c r="C413" s="10" t="n">
        <f aca="false">C412*(1+Returns!G413)</f>
        <v>84.0549448455906</v>
      </c>
    </row>
    <row r="414" customFormat="false" ht="13.8" hidden="false" customHeight="false" outlineLevel="0" collapsed="false">
      <c r="A414" s="7" t="n">
        <v>38108</v>
      </c>
      <c r="B414" s="10" t="n">
        <f aca="false">B413*(1+Returns!F414)</f>
        <v>39.6796375451009</v>
      </c>
      <c r="C414" s="10" t="n">
        <f aca="false">C413*(1+Returns!G414)</f>
        <v>85.683425347029</v>
      </c>
    </row>
    <row r="415" customFormat="false" ht="13.8" hidden="false" customHeight="false" outlineLevel="0" collapsed="false">
      <c r="A415" s="7" t="n">
        <v>38139</v>
      </c>
      <c r="B415" s="10" t="n">
        <f aca="false">B414*(1+Returns!F415)</f>
        <v>40.4529540012174</v>
      </c>
      <c r="C415" s="10" t="n">
        <f aca="false">C414*(1+Returns!G415)</f>
        <v>88.281346803551</v>
      </c>
    </row>
    <row r="416" customFormat="false" ht="13.8" hidden="false" customHeight="false" outlineLevel="0" collapsed="false">
      <c r="A416" s="7" t="n">
        <v>38169</v>
      </c>
      <c r="B416" s="10" t="n">
        <f aca="false">B415*(1+Returns!F416)</f>
        <v>39.1198673550612</v>
      </c>
      <c r="C416" s="10" t="n">
        <f aca="false">C415*(1+Returns!G416)</f>
        <v>84.4724480957117</v>
      </c>
    </row>
    <row r="417" customFormat="false" ht="13.8" hidden="false" customHeight="false" outlineLevel="0" collapsed="false">
      <c r="A417" s="7" t="n">
        <v>38200</v>
      </c>
      <c r="B417" s="10" t="n">
        <f aca="false">B416*(1+Returns!F417)</f>
        <v>39.2687966900819</v>
      </c>
      <c r="C417" s="10" t="n">
        <f aca="false">C416*(1+Returns!G417)</f>
        <v>84.2234233187256</v>
      </c>
    </row>
    <row r="418" customFormat="false" ht="13.8" hidden="false" customHeight="false" outlineLevel="0" collapsed="false">
      <c r="A418" s="7" t="n">
        <v>38231</v>
      </c>
      <c r="B418" s="10" t="n">
        <f aca="false">B417*(1+Returns!F418)</f>
        <v>39.6935672638786</v>
      </c>
      <c r="C418" s="10" t="n">
        <f aca="false">C417*(1+Returns!G418)</f>
        <v>86.5454630996229</v>
      </c>
    </row>
    <row r="419" customFormat="false" ht="13.8" hidden="false" customHeight="false" outlineLevel="0" collapsed="false">
      <c r="A419" s="7" t="n">
        <v>38261</v>
      </c>
      <c r="B419" s="10" t="n">
        <f aca="false">B418*(1+Returns!F419)</f>
        <v>40.2878990465206</v>
      </c>
      <c r="C419" s="10" t="n">
        <f aca="false">C418*(1+Returns!G419)</f>
        <v>88.6664327638053</v>
      </c>
    </row>
    <row r="420" customFormat="false" ht="13.8" hidden="false" customHeight="false" outlineLevel="0" collapsed="false">
      <c r="A420" s="7" t="n">
        <v>38292</v>
      </c>
      <c r="B420" s="10" t="n">
        <f aca="false">B419*(1+Returns!F420)</f>
        <v>41.9219359439485</v>
      </c>
      <c r="C420" s="10" t="n">
        <f aca="false">C419*(1+Returns!G420)</f>
        <v>93.8726596963977</v>
      </c>
    </row>
    <row r="421" customFormat="false" ht="13.8" hidden="false" customHeight="false" outlineLevel="0" collapsed="false">
      <c r="A421" s="7" t="n">
        <v>38322</v>
      </c>
      <c r="B421" s="10" t="n">
        <f aca="false">B420*(1+Returns!F421)</f>
        <v>43.3361305310816</v>
      </c>
      <c r="C421" s="10" t="n">
        <f aca="false">C420*(1+Returns!G421)</f>
        <v>97.4002065024689</v>
      </c>
    </row>
    <row r="422" customFormat="false" ht="13.8" hidden="false" customHeight="false" outlineLevel="0" collapsed="false">
      <c r="A422" s="7" t="n">
        <v>38353</v>
      </c>
      <c r="B422" s="10" t="n">
        <f aca="false">B421*(1+Returns!F422)</f>
        <v>42.3036905573091</v>
      </c>
      <c r="C422" s="10" t="n">
        <f aca="false">C421*(1+Returns!G422)</f>
        <v>94.5295302162216</v>
      </c>
    </row>
    <row r="423" customFormat="false" ht="13.8" hidden="false" customHeight="false" outlineLevel="0" collapsed="false">
      <c r="A423" s="7" t="n">
        <v>38384</v>
      </c>
      <c r="B423" s="10" t="n">
        <f aca="false">B422*(1+Returns!F423)</f>
        <v>43.1984982199773</v>
      </c>
      <c r="C423" s="10" t="n">
        <f aca="false">C422*(1+Returns!G423)</f>
        <v>96.4510319769268</v>
      </c>
    </row>
    <row r="424" customFormat="false" ht="13.8" hidden="false" customHeight="false" outlineLevel="0" collapsed="false">
      <c r="A424" s="7" t="n">
        <v>38412</v>
      </c>
      <c r="B424" s="10" t="n">
        <f aca="false">B423*(1+Returns!F424)</f>
        <v>42.4537561106649</v>
      </c>
      <c r="C424" s="10" t="n">
        <f aca="false">C423*(1+Returns!G424)</f>
        <v>95.216748120718</v>
      </c>
    </row>
    <row r="425" customFormat="false" ht="13.8" hidden="false" customHeight="false" outlineLevel="0" collapsed="false">
      <c r="A425" s="7" t="n">
        <v>38443</v>
      </c>
      <c r="B425" s="10" t="n">
        <f aca="false">B424*(1+Returns!F425)</f>
        <v>41.6502763225145</v>
      </c>
      <c r="C425" s="10" t="n">
        <f aca="false">C424*(1+Returns!G425)</f>
        <v>92.2687423821525</v>
      </c>
    </row>
    <row r="426" customFormat="false" ht="13.8" hidden="false" customHeight="false" outlineLevel="0" collapsed="false">
      <c r="A426" s="7" t="n">
        <v>38473</v>
      </c>
      <c r="B426" s="10" t="n">
        <f aca="false">B425*(1+Returns!F426)</f>
        <v>42.982835263177</v>
      </c>
      <c r="C426" s="10" t="n">
        <f aca="false">C425*(1+Returns!G426)</f>
        <v>96.7495893184569</v>
      </c>
    </row>
    <row r="427" customFormat="false" ht="13.8" hidden="false" customHeight="false" outlineLevel="0" collapsed="false">
      <c r="A427" s="7" t="n">
        <v>38504</v>
      </c>
      <c r="B427" s="10" t="n">
        <f aca="false">B426*(1+Returns!F427)</f>
        <v>43.0566367913239</v>
      </c>
      <c r="C427" s="10" t="n">
        <f aca="false">C426*(1+Returns!G427)</f>
        <v>98.1523616139852</v>
      </c>
    </row>
    <row r="428" customFormat="false" ht="13.8" hidden="false" customHeight="false" outlineLevel="0" collapsed="false">
      <c r="A428" s="7" t="n">
        <v>38534</v>
      </c>
      <c r="B428" s="10" t="n">
        <f aca="false">B427*(1+Returns!F428)</f>
        <v>44.6654049683949</v>
      </c>
      <c r="C428" s="10" t="n">
        <f aca="false">C427*(1+Returns!G428)</f>
        <v>103.195724410797</v>
      </c>
    </row>
    <row r="429" customFormat="false" ht="13.8" hidden="false" customHeight="false" outlineLevel="0" collapsed="false">
      <c r="A429" s="7" t="n">
        <v>38565</v>
      </c>
      <c r="B429" s="10" t="n">
        <f aca="false">B428*(1+Returns!F429)</f>
        <v>44.2563145242894</v>
      </c>
      <c r="C429" s="10" t="n">
        <f aca="false">C428*(1+Returns!G429)</f>
        <v>102.185541464539</v>
      </c>
    </row>
    <row r="430" customFormat="false" ht="13.8" hidden="false" customHeight="false" outlineLevel="0" collapsed="false">
      <c r="A430" s="7" t="n">
        <v>38596</v>
      </c>
      <c r="B430" s="10" t="n">
        <f aca="false">B429*(1+Returns!F430)</f>
        <v>44.6133302135568</v>
      </c>
      <c r="C430" s="10" t="n">
        <f aca="false">C429*(1+Returns!G430)</f>
        <v>103.031739933407</v>
      </c>
    </row>
    <row r="431" customFormat="false" ht="13.8" hidden="false" customHeight="false" outlineLevel="0" collapsed="false">
      <c r="A431" s="7" t="n">
        <v>38626</v>
      </c>
      <c r="B431" s="10" t="n">
        <f aca="false">B430*(1+Returns!F431)</f>
        <v>43.9141501024499</v>
      </c>
      <c r="C431" s="10" t="n">
        <f aca="false">C430*(1+Returns!G431)</f>
        <v>100.61389409239</v>
      </c>
    </row>
    <row r="432" customFormat="false" ht="13.8" hidden="false" customHeight="false" outlineLevel="0" collapsed="false">
      <c r="A432" s="7" t="n">
        <v>38657</v>
      </c>
      <c r="B432" s="10" t="n">
        <f aca="false">B431*(1+Returns!F432)</f>
        <v>45.5955789957227</v>
      </c>
      <c r="C432" s="10" t="n">
        <f aca="false">C431*(1+Returns!G432)</f>
        <v>105.015148275567</v>
      </c>
    </row>
    <row r="433" customFormat="false" ht="13.8" hidden="false" customHeight="false" outlineLevel="0" collapsed="false">
      <c r="A433" s="7" t="n">
        <v>38687</v>
      </c>
      <c r="B433" s="10" t="n">
        <f aca="false">B432*(1+Returns!F433)</f>
        <v>45.5928432609829</v>
      </c>
      <c r="C433" s="10" t="n">
        <f aca="false">C432*(1+Returns!G433)</f>
        <v>105.857579795034</v>
      </c>
    </row>
    <row r="434" customFormat="false" ht="13.8" hidden="false" customHeight="false" outlineLevel="0" collapsed="false">
      <c r="A434" s="7" t="n">
        <v>38718</v>
      </c>
      <c r="B434" s="10" t="n">
        <f aca="false">B433*(1+Returns!F434)</f>
        <v>46.7984092224898</v>
      </c>
      <c r="C434" s="10" t="n">
        <f aca="false">C433*(1+Returns!G434)</f>
        <v>110.237754731793</v>
      </c>
    </row>
    <row r="435" customFormat="false" ht="13.8" hidden="false" customHeight="false" outlineLevel="0" collapsed="false">
      <c r="A435" s="7" t="n">
        <v>38749</v>
      </c>
      <c r="B435" s="10" t="n">
        <f aca="false">B434*(1+Returns!F435)</f>
        <v>46.9118953648544</v>
      </c>
      <c r="C435" s="10" t="n">
        <f aca="false">C434*(1+Returns!G435)</f>
        <v>110.563066346006</v>
      </c>
    </row>
    <row r="436" customFormat="false" ht="13.8" hidden="false" customHeight="false" outlineLevel="0" collapsed="false">
      <c r="A436" s="7" t="n">
        <v>38777</v>
      </c>
      <c r="B436" s="10" t="n">
        <f aca="false">B435*(1+Returns!F436)</f>
        <v>47.5174810221193</v>
      </c>
      <c r="C436" s="10" t="n">
        <f aca="false">C435*(1+Returns!G436)</f>
        <v>112.543803679595</v>
      </c>
    </row>
    <row r="437" customFormat="false" ht="13.8" hidden="false" customHeight="false" outlineLevel="0" collapsed="false">
      <c r="A437" s="7" t="n">
        <v>38808</v>
      </c>
      <c r="B437" s="10" t="n">
        <f aca="false">B436*(1+Returns!F437)</f>
        <v>48.0907319131701</v>
      </c>
      <c r="C437" s="10" t="n">
        <f aca="false">C436*(1+Returns!G437)</f>
        <v>113.729790282771</v>
      </c>
    </row>
    <row r="438" customFormat="false" ht="13.8" hidden="false" customHeight="false" outlineLevel="0" collapsed="false">
      <c r="A438" s="7" t="n">
        <v>38838</v>
      </c>
      <c r="B438" s="10" t="n">
        <f aca="false">B437*(1+Returns!F438)</f>
        <v>46.728850476121</v>
      </c>
      <c r="C438" s="10" t="n">
        <f aca="false">C437*(1+Returns!G438)</f>
        <v>110.510782298607</v>
      </c>
    </row>
    <row r="439" customFormat="false" ht="13.8" hidden="false" customHeight="false" outlineLevel="0" collapsed="false">
      <c r="A439" s="7" t="n">
        <v>38869</v>
      </c>
      <c r="B439" s="10" t="n">
        <f aca="false">B438*(1+Returns!F439)</f>
        <v>46.8030091618267</v>
      </c>
      <c r="C439" s="10" t="n">
        <f aca="false">C438*(1+Returns!G439)</f>
        <v>110.294181165302</v>
      </c>
    </row>
    <row r="440" customFormat="false" ht="13.8" hidden="false" customHeight="false" outlineLevel="0" collapsed="false">
      <c r="A440" s="7" t="n">
        <v>38899</v>
      </c>
      <c r="B440" s="10" t="n">
        <f aca="false">B439*(1+Returns!F440)</f>
        <v>47.0637487258672</v>
      </c>
      <c r="C440" s="10" t="n">
        <f aca="false">C439*(1+Returns!G440)</f>
        <v>108.717636139725</v>
      </c>
    </row>
    <row r="441" customFormat="false" ht="13.8" hidden="false" customHeight="false" outlineLevel="0" collapsed="false">
      <c r="A441" s="7" t="n">
        <v>38930</v>
      </c>
      <c r="B441" s="10" t="n">
        <f aca="false">B440*(1+Returns!F441)</f>
        <v>48.2003382575969</v>
      </c>
      <c r="C441" s="10" t="n">
        <f aca="false">C440*(1+Returns!G441)</f>
        <v>112.024826631096</v>
      </c>
    </row>
    <row r="442" customFormat="false" ht="13.8" hidden="false" customHeight="false" outlineLevel="0" collapsed="false">
      <c r="A442" s="7" t="n">
        <v>38961</v>
      </c>
      <c r="B442" s="10" t="n">
        <f aca="false">B441*(1+Returns!F442)</f>
        <v>49.4770206170258</v>
      </c>
      <c r="C442" s="10" t="n">
        <f aca="false">C441*(1+Returns!G442)</f>
        <v>114.977128912131</v>
      </c>
    </row>
    <row r="443" customFormat="false" ht="13.8" hidden="false" customHeight="false" outlineLevel="0" collapsed="false">
      <c r="A443" s="7" t="n">
        <v>38991</v>
      </c>
      <c r="B443" s="10" t="n">
        <f aca="false">B442*(1+Returns!F443)</f>
        <v>51.0863596666358</v>
      </c>
      <c r="C443" s="10" t="n">
        <f aca="false">C442*(1+Returns!G443)</f>
        <v>119.204607987973</v>
      </c>
    </row>
    <row r="444" customFormat="false" ht="13.8" hidden="false" customHeight="false" outlineLevel="0" collapsed="false">
      <c r="A444" s="7" t="n">
        <v>39022</v>
      </c>
      <c r="B444" s="10" t="n">
        <f aca="false">B443*(1+Returns!F444)</f>
        <v>52.025582389107</v>
      </c>
      <c r="C444" s="10" t="n">
        <f aca="false">C443*(1+Returns!G444)</f>
        <v>122.22513354978</v>
      </c>
    </row>
    <row r="445" customFormat="false" ht="13.8" hidden="false" customHeight="false" outlineLevel="0" collapsed="false">
      <c r="A445" s="7" t="n">
        <v>39052</v>
      </c>
      <c r="B445" s="10" t="n">
        <f aca="false">B444*(1+Returns!F445)</f>
        <v>52.7418706074402</v>
      </c>
      <c r="C445" s="10" t="n">
        <f aca="false">C444*(1+Returns!G445)</f>
        <v>123.235568728836</v>
      </c>
    </row>
    <row r="446" customFormat="false" ht="13.8" hidden="false" customHeight="false" outlineLevel="0" collapsed="false">
      <c r="A446" s="7" t="n">
        <v>39083</v>
      </c>
      <c r="B446" s="10" t="n">
        <f aca="false">B445*(1+Returns!F446)</f>
        <v>53.5495068720519</v>
      </c>
      <c r="C446" s="10" t="n">
        <f aca="false">C445*(1+Returns!G446)</f>
        <v>126.1716561538</v>
      </c>
    </row>
    <row r="447" customFormat="false" ht="13.8" hidden="false" customHeight="false" outlineLevel="0" collapsed="false">
      <c r="A447" s="7" t="n">
        <v>39114</v>
      </c>
      <c r="B447" s="10" t="n">
        <f aca="false">B446*(1+Returns!F447)</f>
        <v>52.5166439835038</v>
      </c>
      <c r="C447" s="10" t="n">
        <f aca="false">C446*(1+Returns!G447)</f>
        <v>125.787715804124</v>
      </c>
    </row>
    <row r="448" customFormat="false" ht="13.8" hidden="false" customHeight="false" outlineLevel="0" collapsed="false">
      <c r="A448" s="7" t="n">
        <v>39142</v>
      </c>
      <c r="B448" s="10" t="n">
        <f aca="false">B447*(1+Returns!F448)</f>
        <v>53.0887603030601</v>
      </c>
      <c r="C448" s="10" t="n">
        <f aca="false">C447*(1+Returns!G448)</f>
        <v>126.710871850411</v>
      </c>
    </row>
    <row r="449" customFormat="false" ht="13.8" hidden="false" customHeight="false" outlineLevel="0" collapsed="false">
      <c r="A449" s="7" t="n">
        <v>39173</v>
      </c>
      <c r="B449" s="10" t="n">
        <f aca="false">B448*(1+Returns!F449)</f>
        <v>55.424187957552</v>
      </c>
      <c r="C449" s="10" t="n">
        <f aca="false">C448*(1+Returns!G449)</f>
        <v>132.196692336303</v>
      </c>
    </row>
    <row r="450" customFormat="false" ht="13.8" hidden="false" customHeight="false" outlineLevel="0" collapsed="false">
      <c r="A450" s="7" t="n">
        <v>39203</v>
      </c>
      <c r="B450" s="10" t="n">
        <f aca="false">B449*(1+Returns!F450)</f>
        <v>57.3340500503813</v>
      </c>
      <c r="C450" s="10" t="n">
        <f aca="false">C449*(1+Returns!G450)</f>
        <v>136.499694671849</v>
      </c>
    </row>
    <row r="451" customFormat="false" ht="13.8" hidden="false" customHeight="false" outlineLevel="0" collapsed="false">
      <c r="A451" s="7" t="n">
        <v>39234</v>
      </c>
      <c r="B451" s="10" t="n">
        <f aca="false">B450*(1+Returns!F451)</f>
        <v>56.3811581385439</v>
      </c>
      <c r="C451" s="10" t="n">
        <f aca="false">C450*(1+Returns!G451)</f>
        <v>133.978818310649</v>
      </c>
    </row>
    <row r="452" customFormat="false" ht="13.8" hidden="false" customHeight="false" outlineLevel="0" collapsed="false">
      <c r="A452" s="7" t="n">
        <v>39264</v>
      </c>
      <c r="B452" s="10" t="n">
        <f aca="false">B451*(1+Returns!F452)</f>
        <v>54.6222351480958</v>
      </c>
      <c r="C452" s="10" t="n">
        <f aca="false">C451*(1+Returns!G452)</f>
        <v>127.939187160024</v>
      </c>
    </row>
    <row r="453" customFormat="false" ht="13.8" hidden="false" customHeight="false" outlineLevel="0" collapsed="false">
      <c r="A453" s="7" t="n">
        <v>39295</v>
      </c>
      <c r="B453" s="10" t="n">
        <f aca="false">B452*(1+Returns!F453)</f>
        <v>55.4467031654211</v>
      </c>
      <c r="C453" s="10" t="n">
        <f aca="false">C452*(1+Returns!G453)</f>
        <v>128.053692732532</v>
      </c>
    </row>
    <row r="454" customFormat="false" ht="13.8" hidden="false" customHeight="false" outlineLevel="0" collapsed="false">
      <c r="A454" s="7" t="n">
        <v>39326</v>
      </c>
      <c r="B454" s="10" t="n">
        <f aca="false">B453*(1+Returns!F454)</f>
        <v>57.5241802396231</v>
      </c>
      <c r="C454" s="10" t="n">
        <f aca="false">C453*(1+Returns!G454)</f>
        <v>131.166421895474</v>
      </c>
    </row>
    <row r="455" customFormat="false" ht="13.8" hidden="false" customHeight="false" outlineLevel="0" collapsed="false">
      <c r="A455" s="7" t="n">
        <v>39356</v>
      </c>
      <c r="B455" s="10" t="n">
        <f aca="false">B454*(1+Returns!F455)</f>
        <v>58.522800008583</v>
      </c>
      <c r="C455" s="10" t="n">
        <f aca="false">C454*(1+Returns!G455)</f>
        <v>132.930216770703</v>
      </c>
    </row>
    <row r="456" customFormat="false" ht="13.8" hidden="false" customHeight="false" outlineLevel="0" collapsed="false">
      <c r="A456" s="7" t="n">
        <v>39387</v>
      </c>
      <c r="B456" s="10" t="n">
        <f aca="false">B455*(1+Returns!F456)</f>
        <v>56.1010094986278</v>
      </c>
      <c r="C456" s="10" t="n">
        <f aca="false">C455*(1+Returns!G456)</f>
        <v>126.311222487039</v>
      </c>
    </row>
    <row r="457" customFormat="false" ht="13.8" hidden="false" customHeight="false" outlineLevel="0" collapsed="false">
      <c r="A457" s="7" t="n">
        <v>39417</v>
      </c>
      <c r="B457" s="10" t="n">
        <f aca="false">B456*(1+Returns!F457)</f>
        <v>55.7578957245342</v>
      </c>
      <c r="C457" s="10" t="n">
        <f aca="false">C456*(1+Returns!G457)</f>
        <v>124.199425158278</v>
      </c>
    </row>
    <row r="458" customFormat="false" ht="13.8" hidden="false" customHeight="false" outlineLevel="0" collapsed="false">
      <c r="A458" s="7" t="n">
        <v>39448</v>
      </c>
      <c r="B458" s="10" t="n">
        <f aca="false">B457*(1+Returns!F458)</f>
        <v>52.3474082746473</v>
      </c>
      <c r="C458" s="10" t="n">
        <f aca="false">C457*(1+Returns!G458)</f>
        <v>118.605731448</v>
      </c>
    </row>
    <row r="459" customFormat="false" ht="13.8" hidden="false" customHeight="false" outlineLevel="0" collapsed="false">
      <c r="A459" s="7" t="n">
        <v>39479</v>
      </c>
      <c r="B459" s="10" t="n">
        <f aca="false">B458*(1+Returns!F459)</f>
        <v>50.7027050540662</v>
      </c>
      <c r="C459" s="10" t="n">
        <f aca="false">C458*(1+Returns!G459)</f>
        <v>115.106743764552</v>
      </c>
    </row>
    <row r="460" customFormat="false" ht="13.8" hidden="false" customHeight="false" outlineLevel="0" collapsed="false">
      <c r="A460" s="7" t="n">
        <v>39508</v>
      </c>
      <c r="B460" s="10" t="n">
        <f aca="false">B459*(1+Returns!F460)</f>
        <v>50.5303158568824</v>
      </c>
      <c r="C460" s="10" t="n">
        <f aca="false">C459*(1+Returns!G460)</f>
        <v>113.641550023173</v>
      </c>
    </row>
    <row r="461" customFormat="false" ht="13.8" hidden="false" customHeight="false" outlineLevel="0" collapsed="false">
      <c r="A461" s="7" t="n">
        <v>39539</v>
      </c>
      <c r="B461" s="10" t="n">
        <f aca="false">B460*(1+Returns!F461)</f>
        <v>52.9875545866867</v>
      </c>
      <c r="C461" s="10" t="n">
        <f aca="false">C460*(1+Returns!G461)</f>
        <v>119.597390018338</v>
      </c>
    </row>
    <row r="462" customFormat="false" ht="13.8" hidden="false" customHeight="false" outlineLevel="0" collapsed="false">
      <c r="A462" s="7" t="n">
        <v>39569</v>
      </c>
      <c r="B462" s="10" t="n">
        <f aca="false">B461*(1+Returns!F462)</f>
        <v>53.6756509705494</v>
      </c>
      <c r="C462" s="10" t="n">
        <f aca="false">C461*(1+Returns!G462)</f>
        <v>122.668292201839</v>
      </c>
    </row>
    <row r="463" customFormat="false" ht="13.8" hidden="false" customHeight="false" outlineLevel="0" collapsed="false">
      <c r="A463" s="7" t="n">
        <v>39600</v>
      </c>
      <c r="B463" s="10" t="n">
        <f aca="false">B462*(1+Returns!F463)</f>
        <v>49.2290526928472</v>
      </c>
      <c r="C463" s="10" t="n">
        <f aca="false">C462*(1+Returns!G463)</f>
        <v>110.602270975989</v>
      </c>
    </row>
    <row r="464" customFormat="false" ht="13.8" hidden="false" customHeight="false" outlineLevel="0" collapsed="false">
      <c r="A464" s="7" t="n">
        <v>39630</v>
      </c>
      <c r="B464" s="10" t="n">
        <f aca="false">B463*(1+Returns!F464)</f>
        <v>48.8693852338732</v>
      </c>
      <c r="C464" s="10" t="n">
        <f aca="false">C463*(1+Returns!G464)</f>
        <v>110.199568107366</v>
      </c>
    </row>
    <row r="465" customFormat="false" ht="13.8" hidden="false" customHeight="false" outlineLevel="0" collapsed="false">
      <c r="A465" s="7" t="n">
        <v>39661</v>
      </c>
      <c r="B465" s="10" t="n">
        <f aca="false">B464*(1+Returns!F465)</f>
        <v>49.6002268900458</v>
      </c>
      <c r="C465" s="10" t="n">
        <f aca="false">C464*(1+Returns!G465)</f>
        <v>113.324717659322</v>
      </c>
    </row>
    <row r="466" customFormat="false" ht="13.8" hidden="false" customHeight="false" outlineLevel="0" collapsed="false">
      <c r="A466" s="7" t="n">
        <v>39692</v>
      </c>
      <c r="B466" s="10" t="n">
        <f aca="false">B465*(1+Returns!F466)</f>
        <v>45.3610442984343</v>
      </c>
      <c r="C466" s="10" t="n">
        <f aca="false">C465*(1+Returns!G466)</f>
        <v>101.60830174996</v>
      </c>
    </row>
    <row r="467" customFormat="false" ht="13.8" hidden="false" customHeight="false" outlineLevel="0" collapsed="false">
      <c r="A467" s="7" t="n">
        <v>39722</v>
      </c>
      <c r="B467" s="10" t="n">
        <f aca="false">B466*(1+Returns!F467)</f>
        <v>37.7866571214817</v>
      </c>
      <c r="C467" s="10" t="n">
        <f aca="false">C466*(1+Returns!G467)</f>
        <v>80.5182794221351</v>
      </c>
    </row>
    <row r="468" customFormat="false" ht="13.8" hidden="false" customHeight="false" outlineLevel="0" collapsed="false">
      <c r="A468" s="7" t="n">
        <v>39753</v>
      </c>
      <c r="B468" s="10" t="n">
        <f aca="false">B467*(1+Returns!F468)</f>
        <v>35.0088843831673</v>
      </c>
      <c r="C468" s="10" t="n">
        <f aca="false">C467*(1+Returns!G468)</f>
        <v>72.1737675342222</v>
      </c>
    </row>
    <row r="469" customFormat="false" ht="13.8" hidden="false" customHeight="false" outlineLevel="0" collapsed="false">
      <c r="A469" s="7" t="n">
        <v>39783</v>
      </c>
      <c r="B469" s="10" t="n">
        <f aca="false">B468*(1+Returns!F469)</f>
        <v>35.4288509602278</v>
      </c>
      <c r="C469" s="10" t="n">
        <f aca="false">C468*(1+Returns!G469)</f>
        <v>75.3499185221007</v>
      </c>
    </row>
    <row r="470" customFormat="false" ht="13.8" hidden="false" customHeight="false" outlineLevel="0" collapsed="false">
      <c r="A470" s="7" t="n">
        <v>39814</v>
      </c>
      <c r="B470" s="10" t="n">
        <f aca="false">B469*(1+Returns!F470)</f>
        <v>32.5018964381486</v>
      </c>
      <c r="C470" s="10" t="n">
        <f aca="false">C469*(1+Returns!G470)</f>
        <v>69.4423342101309</v>
      </c>
    </row>
    <row r="471" customFormat="false" ht="13.8" hidden="false" customHeight="false" outlineLevel="0" collapsed="false">
      <c r="A471" s="7" t="n">
        <v>39845</v>
      </c>
      <c r="B471" s="10" t="n">
        <f aca="false">B470*(1+Returns!F471)</f>
        <v>29.1350899899137</v>
      </c>
      <c r="C471" s="10" t="n">
        <f aca="false">C470*(1+Returns!G471)</f>
        <v>61.3218170899324</v>
      </c>
    </row>
    <row r="472" customFormat="false" ht="13.8" hidden="false" customHeight="false" outlineLevel="0" collapsed="false">
      <c r="A472" s="7" t="n">
        <v>39873</v>
      </c>
      <c r="B472" s="10" t="n">
        <f aca="false">B471*(1+Returns!F472)</f>
        <v>31.6883144660897</v>
      </c>
      <c r="C472" s="10" t="n">
        <f aca="false">C471*(1+Returns!G472)</f>
        <v>68.0327541086205</v>
      </c>
    </row>
    <row r="473" customFormat="false" ht="13.8" hidden="false" customHeight="false" outlineLevel="0" collapsed="false">
      <c r="A473" s="7" t="n">
        <v>39904</v>
      </c>
      <c r="B473" s="10" t="n">
        <f aca="false">B472*(1+Returns!F473)</f>
        <v>34.6743043382294</v>
      </c>
      <c r="C473" s="10" t="n">
        <f aca="false">C472*(1+Returns!G473)</f>
        <v>80.6090849348777</v>
      </c>
    </row>
    <row r="474" customFormat="false" ht="13.8" hidden="false" customHeight="false" outlineLevel="0" collapsed="false">
      <c r="A474" s="7" t="n">
        <v>39934</v>
      </c>
      <c r="B474" s="10" t="n">
        <f aca="false">B473*(1+Returns!F474)</f>
        <v>36.5689083272702</v>
      </c>
      <c r="C474" s="10" t="n">
        <f aca="false">C473*(1+Returns!G474)</f>
        <v>85.6461048252034</v>
      </c>
    </row>
    <row r="475" customFormat="false" ht="13.8" hidden="false" customHeight="false" outlineLevel="0" collapsed="false">
      <c r="A475" s="7" t="n">
        <v>39965</v>
      </c>
      <c r="B475" s="10" t="n">
        <f aca="false">B474*(1+Returns!F475)</f>
        <v>36.6594529442885</v>
      </c>
      <c r="C475" s="10" t="n">
        <f aca="false">C474*(1+Returns!G475)</f>
        <v>85.2477647916614</v>
      </c>
    </row>
    <row r="476" customFormat="false" ht="13.8" hidden="false" customHeight="false" outlineLevel="0" collapsed="false">
      <c r="A476" s="7" t="n">
        <v>39995</v>
      </c>
      <c r="B476" s="10" t="n">
        <f aca="false">B475*(1+Returns!F476)</f>
        <v>39.389922318485</v>
      </c>
      <c r="C476" s="10" t="n">
        <f aca="false">C475*(1+Returns!G476)</f>
        <v>93.2549168430126</v>
      </c>
    </row>
    <row r="477" customFormat="false" ht="13.8" hidden="false" customHeight="false" outlineLevel="0" collapsed="false">
      <c r="A477" s="7" t="n">
        <v>40026</v>
      </c>
      <c r="B477" s="10" t="n">
        <f aca="false">B476*(1+Returns!F477)</f>
        <v>40.7587615089747</v>
      </c>
      <c r="C477" s="10" t="n">
        <f aca="false">C476*(1+Returns!G477)</f>
        <v>98.6477554291271</v>
      </c>
    </row>
    <row r="478" customFormat="false" ht="13.8" hidden="false" customHeight="false" outlineLevel="0" collapsed="false">
      <c r="A478" s="7" t="n">
        <v>40057</v>
      </c>
      <c r="B478" s="10" t="n">
        <f aca="false">B477*(1+Returns!F478)</f>
        <v>42.2478421019436</v>
      </c>
      <c r="C478" s="10" t="n">
        <f aca="false">C477*(1+Returns!G478)</f>
        <v>103.829426078553</v>
      </c>
    </row>
    <row r="479" customFormat="false" ht="13.8" hidden="false" customHeight="false" outlineLevel="0" collapsed="false">
      <c r="A479" s="7" t="n">
        <v>40087</v>
      </c>
      <c r="B479" s="10" t="n">
        <f aca="false">B478*(1+Returns!F479)</f>
        <v>41.4764387530042</v>
      </c>
      <c r="C479" s="10" t="n">
        <f aca="false">C478*(1+Returns!G479)</f>
        <v>100.252710008999</v>
      </c>
    </row>
    <row r="480" customFormat="false" ht="13.8" hidden="false" customHeight="false" outlineLevel="0" collapsed="false">
      <c r="A480" s="7" t="n">
        <v>40118</v>
      </c>
      <c r="B480" s="10" t="n">
        <f aca="false">B479*(1+Returns!F480)</f>
        <v>43.975684522944</v>
      </c>
      <c r="C480" s="10" t="n">
        <f aca="false">C479*(1+Returns!G480)</f>
        <v>105.716683209909</v>
      </c>
    </row>
    <row r="481" customFormat="false" ht="13.8" hidden="false" customHeight="false" outlineLevel="0" collapsed="false">
      <c r="A481" s="7" t="n">
        <v>40148</v>
      </c>
      <c r="B481" s="10" t="n">
        <f aca="false">B480*(1+Returns!F481)</f>
        <v>44.810474942243</v>
      </c>
      <c r="C481" s="10" t="n">
        <f aca="false">C480*(1+Returns!G481)</f>
        <v>110.814764541024</v>
      </c>
    </row>
    <row r="482" customFormat="false" ht="13.8" hidden="false" customHeight="false" outlineLevel="0" collapsed="false">
      <c r="A482" s="7" t="n">
        <v>40179</v>
      </c>
      <c r="B482" s="10" t="n">
        <f aca="false">B481*(1+Returns!F482)</f>
        <v>43.2084556525829</v>
      </c>
      <c r="C482" s="10" t="n">
        <f aca="false">C481*(1+Returns!G482)</f>
        <v>107.384493504657</v>
      </c>
    </row>
    <row r="483" customFormat="false" ht="13.8" hidden="false" customHeight="false" outlineLevel="0" collapsed="false">
      <c r="A483" s="7" t="n">
        <v>40210</v>
      </c>
      <c r="B483" s="10" t="n">
        <f aca="false">B482*(1+Returns!F483)</f>
        <v>44.5230297073571</v>
      </c>
      <c r="C483" s="10" t="n">
        <f aca="false">C482*(1+Returns!G483)</f>
        <v>112.041222065486</v>
      </c>
    </row>
    <row r="484" customFormat="false" ht="13.8" hidden="false" customHeight="false" outlineLevel="0" collapsed="false">
      <c r="A484" s="7" t="n">
        <v>40238</v>
      </c>
      <c r="B484" s="10" t="n">
        <f aca="false">B483*(1+Returns!F484)</f>
        <v>47.2395578419218</v>
      </c>
      <c r="C484" s="10" t="n">
        <f aca="false">C483*(1+Returns!G484)</f>
        <v>119.997717409245</v>
      </c>
    </row>
    <row r="485" customFormat="false" ht="13.8" hidden="false" customHeight="false" outlineLevel="0" collapsed="false">
      <c r="A485" s="7" t="n">
        <v>40269</v>
      </c>
      <c r="B485" s="10" t="n">
        <f aca="false">B484*(1+Returns!F485)</f>
        <v>47.9943042575622</v>
      </c>
      <c r="C485" s="10" t="n">
        <f aca="false">C484*(1+Returns!G485)</f>
        <v>123.363533384856</v>
      </c>
    </row>
    <row r="486" customFormat="false" ht="13.8" hidden="false" customHeight="false" outlineLevel="0" collapsed="false">
      <c r="A486" s="7" t="n">
        <v>40299</v>
      </c>
      <c r="B486" s="10" t="n">
        <f aca="false">B485*(1+Returns!F486)</f>
        <v>44.1494325491846</v>
      </c>
      <c r="C486" s="10" t="n">
        <f aca="false">C485*(1+Returns!G486)</f>
        <v>114.298040770537</v>
      </c>
    </row>
    <row r="487" customFormat="false" ht="13.8" hidden="false" customHeight="false" outlineLevel="0" collapsed="false">
      <c r="A487" s="7" t="n">
        <v>40330</v>
      </c>
      <c r="B487" s="10" t="n">
        <f aca="false">B486*(1+Returns!F487)</f>
        <v>41.7863341719895</v>
      </c>
      <c r="C487" s="10" t="n">
        <f aca="false">C486*(1+Returns!G487)</f>
        <v>107.229964227328</v>
      </c>
    </row>
    <row r="488" customFormat="false" ht="13.8" hidden="false" customHeight="false" outlineLevel="0" collapsed="false">
      <c r="A488" s="7" t="n">
        <v>40360</v>
      </c>
      <c r="B488" s="10" t="n">
        <f aca="false">B487*(1+Returns!F488)</f>
        <v>44.7302232007403</v>
      </c>
      <c r="C488" s="10" t="n">
        <f aca="false">C487*(1+Returns!G488)</f>
        <v>115.123590813958</v>
      </c>
    </row>
    <row r="489" customFormat="false" ht="13.8" hidden="false" customHeight="false" outlineLevel="0" collapsed="false">
      <c r="A489" s="7" t="n">
        <v>40391</v>
      </c>
      <c r="B489" s="10" t="n">
        <f aca="false">B488*(1+Returns!F489)</f>
        <v>42.6979502398379</v>
      </c>
      <c r="C489" s="10" t="n">
        <f aca="false">C488*(1+Returns!G489)</f>
        <v>109.564617984325</v>
      </c>
    </row>
    <row r="490" customFormat="false" ht="13.8" hidden="false" customHeight="false" outlineLevel="0" collapsed="false">
      <c r="A490" s="7" t="n">
        <v>40422</v>
      </c>
      <c r="B490" s="10" t="n">
        <f aca="false">B489*(1+Returns!F490)</f>
        <v>46.5571190763652</v>
      </c>
      <c r="C490" s="10" t="n">
        <f aca="false">C489*(1+Returns!G490)</f>
        <v>120.992974592415</v>
      </c>
    </row>
    <row r="491" customFormat="false" ht="13.8" hidden="false" customHeight="false" outlineLevel="0" collapsed="false">
      <c r="A491" s="7" t="n">
        <v>40452</v>
      </c>
      <c r="B491" s="10" t="n">
        <f aca="false">B490*(1+Returns!F491)</f>
        <v>48.3600900697165</v>
      </c>
      <c r="C491" s="10" t="n">
        <f aca="false">C490*(1+Returns!G491)</f>
        <v>125.342188057114</v>
      </c>
    </row>
    <row r="492" customFormat="false" ht="13.8" hidden="false" customHeight="false" outlineLevel="0" collapsed="false">
      <c r="A492" s="7" t="n">
        <v>40483</v>
      </c>
      <c r="B492" s="10" t="n">
        <f aca="false">B491*(1+Returns!F492)</f>
        <v>48.3576237051229</v>
      </c>
      <c r="C492" s="10" t="n">
        <f aca="false">C491*(1+Returns!G492)</f>
        <v>126.370620710123</v>
      </c>
    </row>
    <row r="493" customFormat="false" ht="13.8" hidden="false" customHeight="false" outlineLevel="0" collapsed="false">
      <c r="A493" s="7" t="n">
        <v>40513</v>
      </c>
      <c r="B493" s="10" t="n">
        <f aca="false">B492*(1+Returns!F493)</f>
        <v>51.6002441626699</v>
      </c>
      <c r="C493" s="10" t="n">
        <f aca="false">C492*(1+Returns!G493)</f>
        <v>135.486239064427</v>
      </c>
    </row>
    <row r="494" customFormat="false" ht="13.8" hidden="false" customHeight="false" outlineLevel="0" collapsed="false">
      <c r="A494" s="7" t="n">
        <v>40544</v>
      </c>
      <c r="B494" s="10" t="n">
        <f aca="false">B493*(1+Returns!F494)</f>
        <v>52.8050582636241</v>
      </c>
      <c r="C494" s="10" t="n">
        <f aca="false">C493*(1+Returns!G494)</f>
        <v>138.458129718305</v>
      </c>
    </row>
    <row r="495" customFormat="false" ht="13.8" hidden="false" customHeight="false" outlineLevel="0" collapsed="false">
      <c r="A495" s="7" t="n">
        <v>40575</v>
      </c>
      <c r="B495" s="10" t="n">
        <f aca="false">B494*(1+Returns!F495)</f>
        <v>54.521645097658</v>
      </c>
      <c r="C495" s="10" t="n">
        <f aca="false">C494*(1+Returns!G495)</f>
        <v>144.150004972895</v>
      </c>
    </row>
    <row r="496" customFormat="false" ht="13.8" hidden="false" customHeight="false" outlineLevel="0" collapsed="false">
      <c r="A496" s="7" t="n">
        <v>40603</v>
      </c>
      <c r="B496" s="10" t="n">
        <f aca="false">B495*(1+Returns!F496)</f>
        <v>54.5557211258441</v>
      </c>
      <c r="C496" s="10" t="n">
        <f aca="false">C495*(1+Returns!G496)</f>
        <v>145.448364067686</v>
      </c>
    </row>
    <row r="497" customFormat="false" ht="13.8" hidden="false" customHeight="false" outlineLevel="0" collapsed="false">
      <c r="A497" s="7" t="n">
        <v>40634</v>
      </c>
      <c r="B497" s="10" t="n">
        <f aca="false">B496*(1+Returns!F497)</f>
        <v>56.16189611151</v>
      </c>
      <c r="C497" s="10" t="n">
        <f aca="false">C496*(1+Returns!G497)</f>
        <v>150.048314029691</v>
      </c>
    </row>
    <row r="498" customFormat="false" ht="13.8" hidden="false" customHeight="false" outlineLevel="0" collapsed="false">
      <c r="A498" s="7" t="n">
        <v>40664</v>
      </c>
      <c r="B498" s="10" t="n">
        <f aca="false">B497*(1+Returns!F498)</f>
        <v>55.5265365808005</v>
      </c>
      <c r="C498" s="10" t="n">
        <f aca="false">C497*(1+Returns!G498)</f>
        <v>149.211194485719</v>
      </c>
    </row>
    <row r="499" customFormat="false" ht="13.8" hidden="false" customHeight="false" outlineLevel="0" collapsed="false">
      <c r="A499" s="7" t="n">
        <v>40695</v>
      </c>
      <c r="B499" s="10" t="n">
        <f aca="false">B498*(1+Returns!F499)</f>
        <v>54.6078500330712</v>
      </c>
      <c r="C499" s="10" t="n">
        <f aca="false">C498*(1+Returns!G499)</f>
        <v>146.361559093431</v>
      </c>
    </row>
    <row r="500" customFormat="false" ht="13.8" hidden="false" customHeight="false" outlineLevel="0" collapsed="false">
      <c r="A500" s="7" t="n">
        <v>40725</v>
      </c>
      <c r="B500" s="10" t="n">
        <f aca="false">B499*(1+Returns!F500)</f>
        <v>53.5250855826154</v>
      </c>
      <c r="C500" s="10" t="n">
        <f aca="false">C499*(1+Returns!G500)</f>
        <v>141.190166125983</v>
      </c>
    </row>
    <row r="501" customFormat="false" ht="13.8" hidden="false" customHeight="false" outlineLevel="0" collapsed="false">
      <c r="A501" s="7" t="n">
        <v>40756</v>
      </c>
      <c r="B501" s="10" t="n">
        <f aca="false">B500*(1+Returns!F501)</f>
        <v>50.617442358511</v>
      </c>
      <c r="C501" s="10" t="n">
        <f aca="false">C500*(1+Returns!G501)</f>
        <v>132.228543901634</v>
      </c>
    </row>
    <row r="502" customFormat="false" ht="13.8" hidden="false" customHeight="false" outlineLevel="0" collapsed="false">
      <c r="A502" s="7" t="n">
        <v>40787</v>
      </c>
      <c r="B502" s="10" t="n">
        <f aca="false">B501*(1+Returns!F502)</f>
        <v>47.0621744421339</v>
      </c>
      <c r="C502" s="10" t="n">
        <f aca="false">C501*(1+Returns!G502)</f>
        <v>120.236208341019</v>
      </c>
    </row>
    <row r="503" customFormat="false" ht="13.8" hidden="false" customHeight="false" outlineLevel="0" collapsed="false">
      <c r="A503" s="7" t="n">
        <v>40817</v>
      </c>
      <c r="B503" s="10" t="n">
        <f aca="false">B502*(1+Returns!F503)</f>
        <v>52.1926103267687</v>
      </c>
      <c r="C503" s="10" t="n">
        <f aca="false">C502*(1+Returns!G503)</f>
        <v>136.401966552469</v>
      </c>
    </row>
    <row r="504" customFormat="false" ht="13.8" hidden="false" customHeight="false" outlineLevel="0" collapsed="false">
      <c r="A504" s="7" t="n">
        <v>40848</v>
      </c>
      <c r="B504" s="10" t="n">
        <f aca="false">B503*(1+Returns!F504)</f>
        <v>52.0502810784076</v>
      </c>
      <c r="C504" s="10" t="n">
        <f aca="false">C503*(1+Returns!G504)</f>
        <v>135.504168808621</v>
      </c>
    </row>
    <row r="505" customFormat="false" ht="13.8" hidden="false" customHeight="false" outlineLevel="0" collapsed="false">
      <c r="A505" s="7" t="n">
        <v>40878</v>
      </c>
      <c r="B505" s="10" t="n">
        <f aca="false">B504*(1+Returns!F505)</f>
        <v>52.5409590781338</v>
      </c>
      <c r="C505" s="10" t="n">
        <f aca="false">C504*(1+Returns!G505)</f>
        <v>135.660405115257</v>
      </c>
    </row>
    <row r="506" customFormat="false" ht="13.8" hidden="false" customHeight="false" outlineLevel="0" collapsed="false">
      <c r="A506" s="7" t="n">
        <v>40909</v>
      </c>
      <c r="B506" s="10" t="n">
        <f aca="false">B505*(1+Returns!F506)</f>
        <v>54.9160731332608</v>
      </c>
      <c r="C506" s="10" t="n">
        <f aca="false">C505*(1+Returns!G506)</f>
        <v>143.311380642948</v>
      </c>
    </row>
    <row r="507" customFormat="false" ht="13.8" hidden="false" customHeight="false" outlineLevel="0" collapsed="false">
      <c r="A507" s="7" t="n">
        <v>40940</v>
      </c>
      <c r="B507" s="10" t="n">
        <f aca="false">B506*(1+Returns!F507)</f>
        <v>57.2961906589295</v>
      </c>
      <c r="C507" s="10" t="n">
        <f aca="false">C506*(1+Returns!G507)</f>
        <v>149.325442731629</v>
      </c>
    </row>
    <row r="508" customFormat="false" ht="13.8" hidden="false" customHeight="false" outlineLevel="0" collapsed="false">
      <c r="A508" s="7" t="n">
        <v>40969</v>
      </c>
      <c r="B508" s="10" t="n">
        <f aca="false">B507*(1+Returns!F508)</f>
        <v>59.1792872611258</v>
      </c>
      <c r="C508" s="10" t="n">
        <f aca="false">C507*(1+Returns!G508)</f>
        <v>152.779489547454</v>
      </c>
    </row>
    <row r="509" customFormat="false" ht="13.8" hidden="false" customHeight="false" outlineLevel="0" collapsed="false">
      <c r="A509" s="7" t="n">
        <v>41000</v>
      </c>
      <c r="B509" s="10" t="n">
        <f aca="false">B508*(1+Returns!F509)</f>
        <v>58.8221994417922</v>
      </c>
      <c r="C509" s="10" t="n">
        <f aca="false">C508*(1+Returns!G509)</f>
        <v>151.587198411026</v>
      </c>
    </row>
    <row r="510" customFormat="false" ht="13.8" hidden="false" customHeight="false" outlineLevel="0" collapsed="false">
      <c r="A510" s="7" t="n">
        <v>41030</v>
      </c>
      <c r="B510" s="10" t="n">
        <f aca="false">B509*(1+Returns!F510)</f>
        <v>55.3052201371674</v>
      </c>
      <c r="C510" s="10" t="n">
        <f aca="false">C509*(1+Returns!G510)</f>
        <v>140.862100949049</v>
      </c>
    </row>
    <row r="511" customFormat="false" ht="13.8" hidden="false" customHeight="false" outlineLevel="0" collapsed="false">
      <c r="A511" s="7" t="n">
        <v>41061</v>
      </c>
      <c r="B511" s="10" t="n">
        <f aca="false">B510*(1+Returns!F511)</f>
        <v>57.5984510901551</v>
      </c>
      <c r="C511" s="10" t="n">
        <f aca="false">C510*(1+Returns!G511)</f>
        <v>146.256696829095</v>
      </c>
    </row>
    <row r="512" customFormat="false" ht="13.8" hidden="false" customHeight="false" outlineLevel="0" collapsed="false">
      <c r="A512" s="7" t="n">
        <v>41091</v>
      </c>
      <c r="B512" s="10" t="n">
        <f aca="false">B511*(1+Returns!F512)</f>
        <v>58.425737643163</v>
      </c>
      <c r="C512" s="10" t="n">
        <f aca="false">C511*(1+Returns!G512)</f>
        <v>146.675868522207</v>
      </c>
    </row>
    <row r="513" customFormat="false" ht="13.8" hidden="false" customHeight="false" outlineLevel="0" collapsed="false">
      <c r="A513" s="7" t="n">
        <v>41122</v>
      </c>
      <c r="B513" s="10" t="n">
        <f aca="false">B512*(1+Returns!F513)</f>
        <v>59.7545726201191</v>
      </c>
      <c r="C513" s="10" t="n">
        <f aca="false">C512*(1+Returns!G513)</f>
        <v>151.192018514006</v>
      </c>
    </row>
    <row r="514" customFormat="false" ht="13.8" hidden="false" customHeight="false" outlineLevel="0" collapsed="false">
      <c r="A514" s="7" t="n">
        <v>41153</v>
      </c>
      <c r="B514" s="10" t="n">
        <f aca="false">B513*(1+Returns!F514)</f>
        <v>61.2556074843365</v>
      </c>
      <c r="C514" s="10" t="n">
        <f aca="false">C513*(1+Returns!G514)</f>
        <v>154.821987686508</v>
      </c>
    </row>
    <row r="515" customFormat="false" ht="13.8" hidden="false" customHeight="false" outlineLevel="0" collapsed="false">
      <c r="A515" s="7" t="n">
        <v>41183</v>
      </c>
      <c r="B515" s="10" t="n">
        <f aca="false">B514*(1+Returns!F515)</f>
        <v>60.1629912136384</v>
      </c>
      <c r="C515" s="10" t="n">
        <f aca="false">C514*(1+Returns!G515)</f>
        <v>153.648901485808</v>
      </c>
    </row>
    <row r="516" customFormat="false" ht="13.8" hidden="false" customHeight="false" outlineLevel="0" collapsed="false">
      <c r="A516" s="7" t="n">
        <v>41214</v>
      </c>
      <c r="B516" s="10" t="n">
        <f aca="false">B515*(1+Returns!F516)</f>
        <v>60.4834193048422</v>
      </c>
      <c r="C516" s="10" t="n">
        <f aca="false">C515*(1+Returns!G516)</f>
        <v>155.744672502074</v>
      </c>
    </row>
    <row r="517" customFormat="false" ht="13.8" hidden="false" customHeight="false" outlineLevel="0" collapsed="false">
      <c r="A517" s="7" t="n">
        <v>41244</v>
      </c>
      <c r="B517" s="10" t="n">
        <f aca="false">B516*(1+Returns!F517)</f>
        <v>60.9980122362878</v>
      </c>
      <c r="C517" s="10" t="n">
        <f aca="false">C516*(1+Returns!G517)</f>
        <v>159.55823655296</v>
      </c>
    </row>
    <row r="518" customFormat="false" ht="13.8" hidden="false" customHeight="false" outlineLevel="0" collapsed="false">
      <c r="A518" s="7" t="n">
        <v>41275</v>
      </c>
      <c r="B518" s="10" t="n">
        <f aca="false">B517*(1+Returns!F518)</f>
        <v>64.1919291549921</v>
      </c>
      <c r="C518" s="10" t="n">
        <f aca="false">C517*(1+Returns!G518)</f>
        <v>170.004673858319</v>
      </c>
    </row>
    <row r="519" customFormat="false" ht="13.8" hidden="false" customHeight="false" outlineLevel="0" collapsed="false">
      <c r="A519" s="7" t="n">
        <v>41306</v>
      </c>
      <c r="B519" s="10" t="n">
        <f aca="false">B518*(1+Returns!F519)</f>
        <v>65.027258729086</v>
      </c>
      <c r="C519" s="10" t="n">
        <f aca="false">C518*(1+Returns!G519)</f>
        <v>172.042349879185</v>
      </c>
    </row>
    <row r="520" customFormat="false" ht="13.8" hidden="false" customHeight="false" outlineLevel="0" collapsed="false">
      <c r="A520" s="7" t="n">
        <v>41334</v>
      </c>
      <c r="B520" s="10" t="n">
        <f aca="false">B519*(1+Returns!F520)</f>
        <v>67.47124322116</v>
      </c>
      <c r="C520" s="10" t="n">
        <f aca="false">C519*(1+Returns!G520)</f>
        <v>179.427267747749</v>
      </c>
    </row>
    <row r="521" customFormat="false" ht="13.8" hidden="false" customHeight="false" outlineLevel="0" collapsed="false">
      <c r="A521" s="7" t="n">
        <v>41365</v>
      </c>
      <c r="B521" s="10" t="n">
        <f aca="false">B520*(1+Returns!F521)</f>
        <v>68.7951639556456</v>
      </c>
      <c r="C521" s="10" t="n">
        <f aca="false">C520*(1+Returns!G521)</f>
        <v>182.250914660295</v>
      </c>
    </row>
    <row r="522" customFormat="false" ht="13.8" hidden="false" customHeight="false" outlineLevel="0" collapsed="false">
      <c r="A522" s="7" t="n">
        <v>41395</v>
      </c>
      <c r="B522" s="10" t="n">
        <f aca="false">B521*(1+Returns!F522)</f>
        <v>70.3857081463001</v>
      </c>
      <c r="C522" s="10" t="n">
        <f aca="false">C521*(1+Returns!G522)</f>
        <v>187.425747131159</v>
      </c>
    </row>
    <row r="523" customFormat="false" ht="13.8" hidden="false" customHeight="false" outlineLevel="0" collapsed="false">
      <c r="A523" s="7" t="n">
        <v>41426</v>
      </c>
      <c r="B523" s="10" t="n">
        <f aca="false">B522*(1+Returns!F523)</f>
        <v>69.4283921298023</v>
      </c>
      <c r="C523" s="10" t="n">
        <f aca="false">C522*(1+Returns!G523)</f>
        <v>185.458713915018</v>
      </c>
    </row>
    <row r="524" customFormat="false" ht="13.8" hidden="false" customHeight="false" outlineLevel="0" collapsed="false">
      <c r="A524" s="7" t="n">
        <v>41456</v>
      </c>
      <c r="B524" s="10" t="n">
        <f aca="false">B523*(1+Returns!F524)</f>
        <v>72.9464676158036</v>
      </c>
      <c r="C524" s="10" t="n">
        <f aca="false">C523*(1+Returns!G524)</f>
        <v>195.685649235148</v>
      </c>
    </row>
    <row r="525" customFormat="false" ht="13.8" hidden="false" customHeight="false" outlineLevel="0" collapsed="false">
      <c r="A525" s="7" t="n">
        <v>41487</v>
      </c>
      <c r="B525" s="10" t="n">
        <f aca="false">B524*(1+Returns!F525)</f>
        <v>70.8159201361488</v>
      </c>
      <c r="C525" s="10" t="n">
        <f aca="false">C524*(1+Returns!G525)</f>
        <v>190.239913302583</v>
      </c>
    </row>
    <row r="526" customFormat="false" ht="13.8" hidden="false" customHeight="false" outlineLevel="0" collapsed="false">
      <c r="A526" s="7" t="n">
        <v>41518</v>
      </c>
      <c r="B526" s="10" t="n">
        <f aca="false">B525*(1+Returns!F526)</f>
        <v>73.0579521676593</v>
      </c>
      <c r="C526" s="10" t="n">
        <f aca="false">C525*(1+Returns!G526)</f>
        <v>197.925986279834</v>
      </c>
    </row>
    <row r="527" customFormat="false" ht="13.8" hidden="false" customHeight="false" outlineLevel="0" collapsed="false">
      <c r="A527" s="7" t="n">
        <v>41548</v>
      </c>
      <c r="B527" s="10" t="n">
        <f aca="false">B526*(1+Returns!F527)</f>
        <v>76.4381974985526</v>
      </c>
      <c r="C527" s="10" t="n">
        <f aca="false">C526*(1+Returns!G527)</f>
        <v>206.402760420226</v>
      </c>
    </row>
    <row r="528" customFormat="false" ht="13.8" hidden="false" customHeight="false" outlineLevel="0" collapsed="false">
      <c r="A528" s="7" t="n">
        <v>41579</v>
      </c>
      <c r="B528" s="10" t="n">
        <f aca="false">B527*(1+Returns!F528)</f>
        <v>78.7937934308655</v>
      </c>
      <c r="C528" s="10" t="n">
        <f aca="false">C527*(1+Returns!G528)</f>
        <v>211.302555549842</v>
      </c>
    </row>
    <row r="529" customFormat="false" ht="13.8" hidden="false" customHeight="false" outlineLevel="0" collapsed="false">
      <c r="A529" s="7" t="n">
        <v>41609</v>
      </c>
      <c r="B529" s="10" t="n">
        <f aca="false">B528*(1+Returns!F529)</f>
        <v>80.8384923703964</v>
      </c>
      <c r="C529" s="10" t="n">
        <f aca="false">C528*(1+Returns!G529)</f>
        <v>217.586482249339</v>
      </c>
    </row>
    <row r="530" customFormat="false" ht="13.8" hidden="false" customHeight="false" outlineLevel="0" collapsed="false">
      <c r="A530" s="7" t="n">
        <v>41640</v>
      </c>
      <c r="B530" s="10" t="n">
        <f aca="false">B529*(1+Returns!F530)</f>
        <v>78.0361451938843</v>
      </c>
      <c r="C530" s="10" t="n">
        <f aca="false">C529*(1+Returns!G530)</f>
        <v>211.116548199655</v>
      </c>
    </row>
    <row r="531" customFormat="false" ht="13.8" hidden="false" customHeight="false" outlineLevel="0" collapsed="false">
      <c r="A531" s="7" t="n">
        <v>41671</v>
      </c>
      <c r="B531" s="10" t="n">
        <f aca="false">B530*(1+Returns!F531)</f>
        <v>81.6068450895208</v>
      </c>
      <c r="C531" s="10" t="n">
        <f aca="false">C530*(1+Returns!G531)</f>
        <v>222.499530245484</v>
      </c>
    </row>
    <row r="532" customFormat="false" ht="13.8" hidden="false" customHeight="false" outlineLevel="0" collapsed="false">
      <c r="A532" s="7" t="n">
        <v>41699</v>
      </c>
      <c r="B532" s="10" t="n">
        <f aca="false">B531*(1+Returns!F532)</f>
        <v>82.264269833562</v>
      </c>
      <c r="C532" s="10" t="n">
        <f aca="false">C531*(1+Returns!G532)</f>
        <v>224.111984341173</v>
      </c>
    </row>
    <row r="533" customFormat="false" ht="13.8" hidden="false" customHeight="false" outlineLevel="0" collapsed="false">
      <c r="A533" s="7" t="n">
        <v>41730</v>
      </c>
      <c r="B533" s="10" t="n">
        <f aca="false">B532*(1+Returns!F533)</f>
        <v>82.803512122321</v>
      </c>
      <c r="C533" s="10" t="n">
        <f aca="false">C532*(1+Returns!G533)</f>
        <v>224.864552384591</v>
      </c>
    </row>
    <row r="534" customFormat="false" ht="13.8" hidden="false" customHeight="false" outlineLevel="0" collapsed="false">
      <c r="A534" s="7" t="n">
        <v>41760</v>
      </c>
      <c r="B534" s="10" t="n">
        <f aca="false">B533*(1+Returns!F534)</f>
        <v>84.7335791863802</v>
      </c>
      <c r="C534" s="10" t="n">
        <f aca="false">C533*(1+Returns!G534)</f>
        <v>230.053301930865</v>
      </c>
    </row>
    <row r="535" customFormat="false" ht="13.8" hidden="false" customHeight="false" outlineLevel="0" collapsed="false">
      <c r="A535" s="7" t="n">
        <v>41791</v>
      </c>
      <c r="B535" s="10" t="n">
        <f aca="false">B534*(1+Returns!F535)</f>
        <v>86.4820565928912</v>
      </c>
      <c r="C535" s="10" t="n">
        <f aca="false">C534*(1+Returns!G535)</f>
        <v>236.566801068434</v>
      </c>
    </row>
    <row r="536" customFormat="false" ht="13.8" hidden="false" customHeight="false" outlineLevel="0" collapsed="false">
      <c r="A536" s="7" t="n">
        <v>41821</v>
      </c>
      <c r="B536" s="10" t="n">
        <f aca="false">B535*(1+Returns!F536)</f>
        <v>85.2735563340621</v>
      </c>
      <c r="C536" s="10" t="n">
        <f aca="false">C535*(1+Returns!G536)</f>
        <v>231.238370441168</v>
      </c>
    </row>
    <row r="537" customFormat="false" ht="13.8" hidden="false" customHeight="false" outlineLevel="0" collapsed="false">
      <c r="A537" s="7" t="n">
        <v>41852</v>
      </c>
      <c r="B537" s="10" t="n">
        <f aca="false">B536*(1+Returns!F537)</f>
        <v>88.6654825843621</v>
      </c>
      <c r="C537" s="10" t="n">
        <f aca="false">C536*(1+Returns!G537)</f>
        <v>241.130747928641</v>
      </c>
    </row>
    <row r="538" customFormat="false" ht="13.8" hidden="false" customHeight="false" outlineLevel="0" collapsed="false">
      <c r="A538" s="7" t="n">
        <v>41883</v>
      </c>
      <c r="B538" s="10" t="n">
        <f aca="false">B537*(1+Returns!F538)</f>
        <v>87.4305497429271</v>
      </c>
      <c r="C538" s="10" t="n">
        <f aca="false">C537*(1+Returns!G538)</f>
        <v>235.030863398291</v>
      </c>
    </row>
    <row r="539" customFormat="false" ht="13.8" hidden="false" customHeight="false" outlineLevel="0" collapsed="false">
      <c r="A539" s="7" t="n">
        <v>41913</v>
      </c>
      <c r="B539" s="10" t="n">
        <f aca="false">B538*(1+Returns!F539)</f>
        <v>89.5264348813646</v>
      </c>
      <c r="C539" s="10" t="n">
        <f aca="false">C538*(1+Returns!G539)</f>
        <v>242.052410442314</v>
      </c>
    </row>
    <row r="540" customFormat="false" ht="13.8" hidden="false" customHeight="false" outlineLevel="0" collapsed="false">
      <c r="A540" s="7" t="n">
        <v>41944</v>
      </c>
      <c r="B540" s="10" t="n">
        <f aca="false">B539*(1+Returns!F540)</f>
        <v>92.0001398035715</v>
      </c>
      <c r="C540" s="10" t="n">
        <f aca="false">C539*(1+Returns!G540)</f>
        <v>247.921213185899</v>
      </c>
    </row>
    <row r="541" customFormat="false" ht="13.8" hidden="false" customHeight="false" outlineLevel="0" collapsed="false">
      <c r="A541" s="7" t="n">
        <v>41974</v>
      </c>
      <c r="B541" s="10" t="n">
        <f aca="false">B540*(1+Returns!F541)</f>
        <v>91.7726234578373</v>
      </c>
      <c r="C541" s="10" t="n">
        <f aca="false">C540*(1+Returns!G541)</f>
        <v>248.781251874441</v>
      </c>
    </row>
    <row r="542" customFormat="false" ht="13.8" hidden="false" customHeight="false" outlineLevel="0" collapsed="false">
      <c r="A542" s="7" t="n">
        <v>42005</v>
      </c>
      <c r="B542" s="10" t="n">
        <f aca="false">B541*(1+Returns!F542)</f>
        <v>89.0717551494732</v>
      </c>
      <c r="C542" s="10" t="n">
        <f aca="false">C541*(1+Returns!G542)</f>
        <v>241.795723103058</v>
      </c>
    </row>
    <row r="543" customFormat="false" ht="13.8" hidden="false" customHeight="false" outlineLevel="0" collapsed="false">
      <c r="A543" s="7" t="n">
        <v>42036</v>
      </c>
      <c r="B543" s="10" t="n">
        <f aca="false">B542*(1+Returns!F543)</f>
        <v>94.1467074708695</v>
      </c>
      <c r="C543" s="10" t="n">
        <f aca="false">C542*(1+Returns!G543)</f>
        <v>255.959391175266</v>
      </c>
    </row>
    <row r="544" customFormat="false" ht="13.8" hidden="false" customHeight="false" outlineLevel="0" collapsed="false">
      <c r="A544" s="7" t="n">
        <v>42064</v>
      </c>
      <c r="B544" s="10" t="n">
        <f aca="false">B543*(1+Returns!F544)</f>
        <v>92.7351658857588</v>
      </c>
      <c r="C544" s="10" t="n">
        <f aca="false">C543*(1+Returns!G544)</f>
        <v>253.794230685315</v>
      </c>
    </row>
    <row r="545" customFormat="false" ht="13.8" hidden="false" customHeight="false" outlineLevel="0" collapsed="false">
      <c r="A545" s="7" t="n">
        <v>42095</v>
      </c>
      <c r="B545" s="10" t="n">
        <f aca="false">B544*(1+Returns!F545)</f>
        <v>93.5791486304851</v>
      </c>
      <c r="C545" s="10" t="n">
        <f aca="false">C544*(1+Returns!G545)</f>
        <v>254.79621030806</v>
      </c>
    </row>
    <row r="546" customFormat="false" ht="13.8" hidden="false" customHeight="false" outlineLevel="0" collapsed="false">
      <c r="A546" s="7" t="n">
        <v>42125</v>
      </c>
      <c r="B546" s="10" t="n">
        <f aca="false">B545*(1+Returns!F546)</f>
        <v>94.750946729636</v>
      </c>
      <c r="C546" s="10" t="n">
        <f aca="false">C545*(1+Returns!G546)</f>
        <v>257.027205925518</v>
      </c>
    </row>
    <row r="547" customFormat="false" ht="13.8" hidden="false" customHeight="false" outlineLevel="0" collapsed="false">
      <c r="A547" s="7" t="n">
        <v>42156</v>
      </c>
      <c r="B547" s="10" t="n">
        <f aca="false">B546*(1+Returns!F547)</f>
        <v>92.9181791670447</v>
      </c>
      <c r="C547" s="10" t="n">
        <f aca="false">C546*(1+Returns!G547)</f>
        <v>251.392141462807</v>
      </c>
    </row>
    <row r="548" customFormat="false" ht="13.8" hidden="false" customHeight="false" outlineLevel="0" collapsed="false">
      <c r="A548" s="7" t="n">
        <v>42186</v>
      </c>
      <c r="B548" s="10" t="n">
        <f aca="false">B547*(1+Returns!F548)</f>
        <v>94.8970576287652</v>
      </c>
      <c r="C548" s="10" t="n">
        <f aca="false">C547*(1+Returns!G548)</f>
        <v>253.774333395308</v>
      </c>
    </row>
    <row r="549" customFormat="false" ht="13.8" hidden="false" customHeight="false" outlineLevel="0" collapsed="false">
      <c r="A549" s="7" t="n">
        <v>42217</v>
      </c>
      <c r="B549" s="10" t="n">
        <f aca="false">B548*(1+Returns!F549)</f>
        <v>89.1963066858324</v>
      </c>
      <c r="C549" s="10" t="n">
        <f aca="false">C548*(1+Returns!G549)</f>
        <v>240.149950758314</v>
      </c>
    </row>
    <row r="550" customFormat="false" ht="13.8" hidden="false" customHeight="false" outlineLevel="0" collapsed="false">
      <c r="A550" s="7" t="n">
        <v>42248</v>
      </c>
      <c r="B550" s="10" t="n">
        <f aca="false">B549*(1+Returns!F550)</f>
        <v>87.0067157493086</v>
      </c>
      <c r="C550" s="10" t="n">
        <f aca="false">C549*(1+Returns!G550)</f>
        <v>232.08259346249</v>
      </c>
    </row>
    <row r="551" customFormat="false" ht="13.8" hidden="false" customHeight="false" outlineLevel="0" collapsed="false">
      <c r="A551" s="7" t="n">
        <v>42278</v>
      </c>
      <c r="B551" s="10" t="n">
        <f aca="false">B550*(1+Returns!F551)</f>
        <v>94.2673391718726</v>
      </c>
      <c r="C551" s="10" t="n">
        <f aca="false">C550*(1+Returns!G551)</f>
        <v>249.171763149507</v>
      </c>
    </row>
    <row r="552" customFormat="false" ht="13.8" hidden="false" customHeight="false" outlineLevel="0" collapsed="false">
      <c r="A552" s="7" t="n">
        <v>42309</v>
      </c>
      <c r="B552" s="10" t="n">
        <f aca="false">B551*(1+Returns!F552)</f>
        <v>94.5853029068993</v>
      </c>
      <c r="C552" s="10" t="n">
        <f aca="false">C551*(1+Returns!G552)</f>
        <v>249.894112090878</v>
      </c>
    </row>
    <row r="553" customFormat="false" ht="13.8" hidden="false" customHeight="false" outlineLevel="0" collapsed="false">
      <c r="A553" s="7" t="n">
        <v>42339</v>
      </c>
      <c r="B553" s="10" t="n">
        <f aca="false">B552*(1+Returns!F553)</f>
        <v>93.1431607934779</v>
      </c>
      <c r="C553" s="10" t="n">
        <f aca="false">C552*(1+Returns!G553)</f>
        <v>243.576039254884</v>
      </c>
    </row>
    <row r="554" customFormat="false" ht="13.8" hidden="false" customHeight="false" outlineLevel="0" collapsed="false">
      <c r="A554" s="7" t="n">
        <v>42370</v>
      </c>
      <c r="B554" s="10" t="n">
        <f aca="false">B553*(1+Returns!F554)</f>
        <v>88.5698315985181</v>
      </c>
      <c r="C554" s="10" t="n">
        <f aca="false">C553*(1+Returns!G554)</f>
        <v>229.944793370063</v>
      </c>
    </row>
    <row r="555" customFormat="false" ht="13.8" hidden="false" customHeight="false" outlineLevel="0" collapsed="false">
      <c r="A555" s="7" t="n">
        <v>42401</v>
      </c>
      <c r="B555" s="10" t="n">
        <f aca="false">B554*(1+Returns!F555)</f>
        <v>88.4155429518735</v>
      </c>
      <c r="C555" s="10" t="n">
        <f aca="false">C554*(1+Returns!G555)</f>
        <v>232.665500165217</v>
      </c>
    </row>
    <row r="556" customFormat="false" ht="13.8" hidden="false" customHeight="false" outlineLevel="0" collapsed="false">
      <c r="A556" s="7" t="n">
        <v>42430</v>
      </c>
      <c r="B556" s="10" t="n">
        <f aca="false">B555*(1+Returns!F556)</f>
        <v>94.3694456142526</v>
      </c>
      <c r="C556" s="10" t="n">
        <f aca="false">C555*(1+Returns!G556)</f>
        <v>251.517222316104</v>
      </c>
    </row>
    <row r="557" customFormat="false" ht="13.8" hidden="false" customHeight="false" outlineLevel="0" collapsed="false">
      <c r="A557" s="7" t="n">
        <v>42461</v>
      </c>
      <c r="B557" s="10" t="n">
        <f aca="false">B556*(1+Returns!F557)</f>
        <v>94.7230479269692</v>
      </c>
      <c r="C557" s="10" t="n">
        <f aca="false">C556*(1+Returns!G557)</f>
        <v>254.741924623419</v>
      </c>
    </row>
    <row r="558" customFormat="false" ht="13.8" hidden="false" customHeight="false" outlineLevel="0" collapsed="false">
      <c r="A558" s="7" t="n">
        <v>42491</v>
      </c>
      <c r="B558" s="10" t="n">
        <f aca="false">B557*(1+Returns!F558)</f>
        <v>96.4741929139951</v>
      </c>
      <c r="C558" s="10" t="n">
        <f aca="false">C557*(1+Returns!G558)</f>
        <v>258.430587691966</v>
      </c>
    </row>
    <row r="559" customFormat="false" ht="13.8" hidden="false" customHeight="false" outlineLevel="0" collapsed="false">
      <c r="A559" s="7" t="n">
        <v>42522</v>
      </c>
      <c r="B559" s="10" t="n">
        <f aca="false">B558*(1+Returns!F559)</f>
        <v>96.73226138004</v>
      </c>
      <c r="C559" s="10" t="n">
        <f aca="false">C558*(1+Returns!G559)</f>
        <v>258.402677188495</v>
      </c>
    </row>
    <row r="560" customFormat="false" ht="13.8" hidden="false" customHeight="false" outlineLevel="0" collapsed="false">
      <c r="A560" s="7" t="n">
        <v>42552</v>
      </c>
      <c r="B560" s="10" t="n">
        <f aca="false">B559*(1+Returns!F560)</f>
        <v>100.269856910969</v>
      </c>
      <c r="C560" s="10" t="n">
        <f aca="false">C559*(1+Returns!G560)</f>
        <v>269.599006788396</v>
      </c>
    </row>
    <row r="561" customFormat="false" ht="13.8" hidden="false" customHeight="false" outlineLevel="0" collapsed="false">
      <c r="A561" s="7" t="n">
        <v>42583</v>
      </c>
      <c r="B561" s="10" t="n">
        <f aca="false">B560*(1+Returns!F561)</f>
        <v>100.394893422537</v>
      </c>
      <c r="C561" s="10" t="n">
        <f aca="false">C560*(1+Returns!G561)</f>
        <v>270.205334954663</v>
      </c>
    </row>
    <row r="562" customFormat="false" ht="13.8" hidden="false" customHeight="false" outlineLevel="0" collapsed="false">
      <c r="A562" s="7" t="n">
        <v>42614</v>
      </c>
      <c r="B562" s="10" t="n">
        <f aca="false">B561*(1+Returns!F562)</f>
        <v>100.439669545004</v>
      </c>
      <c r="C562" s="10" t="n">
        <f aca="false">C561*(1+Returns!G562)</f>
        <v>270.374213289009</v>
      </c>
    </row>
    <row r="563" customFormat="false" ht="13.8" hidden="false" customHeight="false" outlineLevel="0" collapsed="false">
      <c r="A563" s="7" t="n">
        <v>42644</v>
      </c>
      <c r="B563" s="10" t="n">
        <f aca="false">B562*(1+Returns!F563)</f>
        <v>98.6373801146883</v>
      </c>
      <c r="C563" s="10" t="n">
        <f aca="false">C562*(1+Returns!G563)</f>
        <v>263.8430537928</v>
      </c>
    </row>
    <row r="564" customFormat="false" ht="13.8" hidden="false" customHeight="false" outlineLevel="0" collapsed="false">
      <c r="A564" s="7" t="n">
        <v>42675</v>
      </c>
      <c r="B564" s="10" t="n">
        <f aca="false">B563*(1+Returns!F564)</f>
        <v>102.169781971356</v>
      </c>
      <c r="C564" s="10" t="n">
        <f aca="false">C563*(1+Returns!G564)</f>
        <v>277.460785328208</v>
      </c>
    </row>
    <row r="565" customFormat="false" ht="13.8" hidden="false" customHeight="false" outlineLevel="0" collapsed="false">
      <c r="A565" s="7" t="n">
        <v>42705</v>
      </c>
      <c r="B565" s="10" t="n">
        <f aca="false">B564*(1+Returns!F565)</f>
        <v>104.131850464333</v>
      </c>
      <c r="C565" s="10" t="n">
        <f aca="false">C564*(1+Returns!G565)</f>
        <v>280.451812594046</v>
      </c>
    </row>
    <row r="566" customFormat="false" ht="13.8" hidden="false" customHeight="false" outlineLevel="0" collapsed="false">
      <c r="A566" s="7" t="n">
        <v>42736</v>
      </c>
      <c r="B566" s="10" t="n">
        <f aca="false">B565*(1+Returns!F566)</f>
        <v>106.150342253734</v>
      </c>
      <c r="C566" s="10" t="n">
        <f aca="false">C565*(1+Returns!G566)</f>
        <v>286.36710222528</v>
      </c>
    </row>
    <row r="567" customFormat="false" ht="13.8" hidden="false" customHeight="false" outlineLevel="0" collapsed="false">
      <c r="A567" s="7" t="n">
        <v>42767</v>
      </c>
      <c r="B567" s="10" t="n">
        <f aca="false">B566*(1+Returns!F567)</f>
        <v>110.338928608724</v>
      </c>
      <c r="C567" s="10" t="n">
        <f aca="false">C566*(1+Returns!G567)</f>
        <v>295.422316364745</v>
      </c>
    </row>
    <row r="568" customFormat="false" ht="13.8" hidden="false" customHeight="false" outlineLevel="0" collapsed="false">
      <c r="A568" s="7" t="n">
        <v>42795</v>
      </c>
      <c r="B568" s="10" t="n">
        <f aca="false">B567*(1+Returns!F568)</f>
        <v>110.522642924858</v>
      </c>
      <c r="C568" s="10" t="n">
        <f aca="false">C567*(1+Returns!G568)</f>
        <v>295.47637864864</v>
      </c>
    </row>
    <row r="569" customFormat="false" ht="13.8" hidden="false" customHeight="false" outlineLevel="0" collapsed="false">
      <c r="A569" s="7" t="n">
        <v>42826</v>
      </c>
      <c r="B569" s="10" t="n">
        <f aca="false">B568*(1+Returns!F569)</f>
        <v>111.693188236075</v>
      </c>
      <c r="C569" s="10" t="n">
        <f aca="false">C568*(1+Returns!G569)</f>
        <v>297.502755653412</v>
      </c>
    </row>
    <row r="570" customFormat="false" ht="13.8" hidden="false" customHeight="false" outlineLevel="0" collapsed="false">
      <c r="A570" s="7" t="n">
        <v>42856</v>
      </c>
      <c r="B570" s="10" t="n">
        <f aca="false">B569*(1+Returns!F570)</f>
        <v>113.318547511286</v>
      </c>
      <c r="C570" s="10" t="n">
        <f aca="false">C569*(1+Returns!G570)</f>
        <v>298.832890473939</v>
      </c>
    </row>
    <row r="571" customFormat="false" ht="13.8" hidden="false" customHeight="false" outlineLevel="0" collapsed="false">
      <c r="A571" s="7" t="n">
        <v>42887</v>
      </c>
      <c r="B571" s="10" t="n">
        <f aca="false">B570*(1+Returns!F571)</f>
        <v>113.975568449757</v>
      </c>
      <c r="C571" s="10" t="n">
        <f aca="false">C570*(1+Returns!G571)</f>
        <v>302.732958527514</v>
      </c>
    </row>
    <row r="572" customFormat="false" ht="13.8" hidden="false" customHeight="false" outlineLevel="0" collapsed="false">
      <c r="A572" s="7" t="n">
        <v>42917</v>
      </c>
      <c r="B572" s="10" t="n">
        <f aca="false">B571*(1+Returns!F572)</f>
        <v>116.334406814393</v>
      </c>
      <c r="C572" s="10" t="n">
        <f aca="false">C571*(1+Returns!G572)</f>
        <v>307.510690078995</v>
      </c>
    </row>
    <row r="573" customFormat="false" ht="13.8" hidden="false" customHeight="false" outlineLevel="0" collapsed="false">
      <c r="A573" s="7" t="n">
        <v>42948</v>
      </c>
      <c r="B573" s="10" t="n">
        <f aca="false">B572*(1+Returns!F573)</f>
        <v>116.594763216843</v>
      </c>
      <c r="C573" s="10" t="n">
        <f aca="false">C572*(1+Returns!G573)</f>
        <v>304.253844360369</v>
      </c>
    </row>
    <row r="574" customFormat="false" ht="13.8" hidden="false" customHeight="false" outlineLevel="0" collapsed="false">
      <c r="A574" s="7" t="n">
        <v>42979</v>
      </c>
      <c r="B574" s="10" t="n">
        <f aca="false">B573*(1+Returns!F574)</f>
        <v>118.932488219341</v>
      </c>
      <c r="C574" s="10" t="n">
        <f aca="false">C573*(1+Returns!G574)</f>
        <v>313.188258500011</v>
      </c>
    </row>
    <row r="575" customFormat="false" ht="13.8" hidden="false" customHeight="false" outlineLevel="0" collapsed="false">
      <c r="A575" s="7" t="n">
        <v>43009</v>
      </c>
      <c r="B575" s="10" t="n">
        <f aca="false">B574*(1+Returns!F575)</f>
        <v>121.80256702505</v>
      </c>
      <c r="C575" s="10" t="n">
        <f aca="false">C574*(1+Returns!G575)</f>
        <v>316.430383352003</v>
      </c>
    </row>
    <row r="576" customFormat="false" ht="13.8" hidden="false" customHeight="false" outlineLevel="0" collapsed="false">
      <c r="A576" s="7" t="n">
        <v>43040</v>
      </c>
      <c r="B576" s="10" t="n">
        <f aca="false">B575*(1+Returns!F576)</f>
        <v>125.6258278014</v>
      </c>
      <c r="C576" s="10" t="n">
        <f aca="false">C575*(1+Returns!G576)</f>
        <v>328.703452200694</v>
      </c>
    </row>
    <row r="577" customFormat="false" ht="13.8" hidden="false" customHeight="false" outlineLevel="0" collapsed="false">
      <c r="A577" s="7" t="n">
        <v>43070</v>
      </c>
      <c r="B577" s="10" t="n">
        <f aca="false">B576*(1+Returns!F577)</f>
        <v>127.026430155557</v>
      </c>
      <c r="C577" s="10" t="n">
        <f aca="false">C576*(1+Returns!G577)</f>
        <v>333.010124831427</v>
      </c>
    </row>
    <row r="578" customFormat="false" ht="13.8" hidden="false" customHeight="false" outlineLevel="0" collapsed="false">
      <c r="A578" s="7" t="n">
        <v>43101</v>
      </c>
      <c r="B578" s="10" t="n">
        <f aca="false">B577*(1+Returns!F578)</f>
        <v>134.401584690389</v>
      </c>
      <c r="C578" s="10" t="n">
        <f aca="false">C577*(1+Returns!G578)</f>
        <v>347.898008482266</v>
      </c>
    </row>
    <row r="579" customFormat="false" ht="13.8" hidden="false" customHeight="false" outlineLevel="0" collapsed="false">
      <c r="A579" s="7" t="n">
        <v>43132</v>
      </c>
      <c r="B579" s="10" t="n">
        <f aca="false">B578*(1+Returns!F579)</f>
        <v>129.339886609364</v>
      </c>
      <c r="C579" s="10" t="n">
        <f aca="false">C578*(1+Returns!G579)</f>
        <v>332.814890324517</v>
      </c>
    </row>
    <row r="580" customFormat="false" ht="13.8" hidden="false" customHeight="false" outlineLevel="0" collapsed="false">
      <c r="A580" s="7" t="n">
        <v>43160</v>
      </c>
      <c r="B580" s="10" t="n">
        <f aca="false">B579*(1+Returns!F580)</f>
        <v>126.047022436177</v>
      </c>
      <c r="C580" s="10" t="n">
        <f aca="false">C579*(1+Returns!G580)</f>
        <v>329.961002639984</v>
      </c>
    </row>
    <row r="581" customFormat="false" ht="13.8" hidden="false" customHeight="false" outlineLevel="0" collapsed="false">
      <c r="A581" s="7" t="n">
        <v>43191</v>
      </c>
      <c r="B581" s="10" t="n">
        <f aca="false">B580*(1+Returns!F581)</f>
        <v>126.522219710761</v>
      </c>
      <c r="C581" s="10" t="n">
        <f aca="false">C580*(1+Returns!G581)</f>
        <v>331.242571174238</v>
      </c>
    </row>
    <row r="582" customFormat="false" ht="13.8" hidden="false" customHeight="false" outlineLevel="0" collapsed="false">
      <c r="A582" s="7" t="n">
        <v>43221</v>
      </c>
      <c r="B582" s="10" t="n">
        <f aca="false">B581*(1+Returns!F582)</f>
        <v>129.533448539877</v>
      </c>
      <c r="C582" s="10" t="n">
        <f aca="false">C581*(1+Returns!G582)</f>
        <v>336.398030551994</v>
      </c>
    </row>
    <row r="583" customFormat="false" ht="13.8" hidden="false" customHeight="false" outlineLevel="0" collapsed="false">
      <c r="A583" s="7" t="n">
        <v>43252</v>
      </c>
      <c r="B583" s="10" t="n">
        <f aca="false">B582*(1+Returns!F583)</f>
        <v>130.41945732789</v>
      </c>
      <c r="C583" s="10" t="n">
        <f aca="false">C582*(1+Returns!G583)</f>
        <v>340.172080056757</v>
      </c>
    </row>
    <row r="584" customFormat="false" ht="13.8" hidden="false" customHeight="false" outlineLevel="0" collapsed="false">
      <c r="A584" s="7" t="n">
        <v>43282</v>
      </c>
      <c r="B584" s="10" t="n">
        <f aca="false">B583*(1+Returns!F584)</f>
        <v>135.263757650877</v>
      </c>
      <c r="C584" s="10" t="n">
        <f aca="false">C583*(1+Returns!G584)</f>
        <v>351.15793738219</v>
      </c>
    </row>
    <row r="585" customFormat="false" ht="13.8" hidden="false" customHeight="false" outlineLevel="0" collapsed="false">
      <c r="A585" s="7" t="n">
        <v>43313</v>
      </c>
      <c r="B585" s="10" t="n">
        <f aca="false">B584*(1+Returns!F585)</f>
        <v>139.719075300382</v>
      </c>
      <c r="C585" s="10" t="n">
        <f aca="false">C584*(1+Returns!G585)</f>
        <v>358.182149603646</v>
      </c>
    </row>
    <row r="586" customFormat="false" ht="13.8" hidden="false" customHeight="false" outlineLevel="0" collapsed="false">
      <c r="A586" s="7" t="n">
        <v>43344</v>
      </c>
      <c r="B586" s="10" t="n">
        <f aca="false">B585*(1+Returns!F586)</f>
        <v>140.436951909275</v>
      </c>
      <c r="C586" s="10" t="n">
        <f aca="false">C585*(1+Returns!G586)</f>
        <v>358.754166496563</v>
      </c>
    </row>
    <row r="587" customFormat="false" ht="13.8" hidden="false" customHeight="false" outlineLevel="0" collapsed="false">
      <c r="A587" s="7" t="n">
        <v>43374</v>
      </c>
      <c r="B587" s="10" t="n">
        <f aca="false">B586*(1+Returns!F587)</f>
        <v>130.829800466113</v>
      </c>
      <c r="C587" s="10" t="n">
        <f aca="false">C586*(1+Returns!G587)</f>
        <v>333.146294092038</v>
      </c>
    </row>
    <row r="588" customFormat="false" ht="13.8" hidden="false" customHeight="false" outlineLevel="0" collapsed="false">
      <c r="A588" s="7" t="n">
        <v>43405</v>
      </c>
      <c r="B588" s="10" t="n">
        <f aca="false">B587*(1+Returns!F588)</f>
        <v>133.41395068492</v>
      </c>
      <c r="C588" s="10" t="n">
        <f aca="false">C587*(1+Returns!G588)</f>
        <v>342.275168842748</v>
      </c>
    </row>
    <row r="589" customFormat="false" ht="13.8" hidden="false" customHeight="false" outlineLevel="0" collapsed="false">
      <c r="A589" s="7" t="n">
        <v>43435</v>
      </c>
      <c r="B589" s="10" t="n">
        <f aca="false">B588*(1+Returns!F589)</f>
        <v>121.320509711135</v>
      </c>
      <c r="C589" s="10" t="n">
        <f aca="false">C588*(1+Returns!G589)</f>
        <v>307.940519830625</v>
      </c>
    </row>
    <row r="590" customFormat="false" ht="13.8" hidden="false" customHeight="false" outlineLevel="0" collapsed="false">
      <c r="A590" s="7" t="n">
        <v>43466</v>
      </c>
      <c r="B590" s="10" t="n">
        <f aca="false">B589*(1+Returns!F590)</f>
        <v>131.197091086208</v>
      </c>
      <c r="C590" s="10" t="n">
        <f aca="false">C589*(1+Returns!G590)</f>
        <v>339.048055262876</v>
      </c>
    </row>
    <row r="591" customFormat="false" ht="13.8" hidden="false" customHeight="false" outlineLevel="0" collapsed="false">
      <c r="A591" s="7" t="n">
        <v>43497</v>
      </c>
      <c r="B591" s="10" t="n">
        <f aca="false">B590*(1+Returns!F591)</f>
        <v>135.35708845037</v>
      </c>
      <c r="C591" s="10" t="n">
        <f aca="false">C590*(1+Returns!G591)</f>
        <v>351.488067458526</v>
      </c>
    </row>
    <row r="592" customFormat="false" ht="13.8" hidden="false" customHeight="false" outlineLevel="0" collapsed="false">
      <c r="A592" s="7" t="n">
        <v>43525</v>
      </c>
      <c r="B592" s="10" t="n">
        <f aca="false">B591*(1+Returns!F592)</f>
        <v>138.000747744894</v>
      </c>
      <c r="C592" s="10" t="n">
        <f aca="false">C591*(1+Returns!G592)</f>
        <v>354.69750500249</v>
      </c>
    </row>
    <row r="593" customFormat="false" ht="13.8" hidden="false" customHeight="false" outlineLevel="0" collapsed="false">
      <c r="A593" s="7" t="n">
        <v>43556</v>
      </c>
      <c r="B593" s="10" t="n">
        <f aca="false">B592*(1+Returns!F593)</f>
        <v>143.607718125769</v>
      </c>
      <c r="C593" s="10" t="n">
        <f aca="false">C592*(1+Returns!G593)</f>
        <v>367.707100090971</v>
      </c>
    </row>
    <row r="594" customFormat="false" ht="13.8" hidden="false" customHeight="false" outlineLevel="0" collapsed="false">
      <c r="A594" s="7" t="n">
        <v>43586</v>
      </c>
      <c r="B594" s="10" t="n">
        <f aca="false">B593*(1+Returns!F594)</f>
        <v>134.533577240556</v>
      </c>
      <c r="C594" s="10" t="n">
        <f aca="false">C593*(1+Returns!G594)</f>
        <v>342.537181382644</v>
      </c>
    </row>
    <row r="595" customFormat="false" ht="13.8" hidden="false" customHeight="false" outlineLevel="0" collapsed="false">
      <c r="A595" s="7" t="n">
        <v>43617</v>
      </c>
      <c r="B595" s="10" t="n">
        <f aca="false">B594*(1+Returns!F595)</f>
        <v>143.891867406987</v>
      </c>
      <c r="C595" s="10" t="n">
        <f aca="false">C594*(1+Returns!G595)</f>
        <v>368.507322863532</v>
      </c>
    </row>
    <row r="596" customFormat="false" ht="13.8" hidden="false" customHeight="false" outlineLevel="0" collapsed="false">
      <c r="A596" s="7" t="n">
        <v>43647</v>
      </c>
      <c r="B596" s="10" t="n">
        <f aca="false">B595*(1+Returns!F596)</f>
        <v>145.993120346731</v>
      </c>
      <c r="C596" s="10" t="n">
        <f aca="false">C595*(1+Returns!G596)</f>
        <v>371.764559090322</v>
      </c>
    </row>
    <row r="597" customFormat="false" ht="13.8" hidden="false" customHeight="false" outlineLevel="0" collapsed="false">
      <c r="A597" s="7" t="n">
        <v>43678</v>
      </c>
      <c r="B597" s="10" t="n">
        <f aca="false">B596*(1+Returns!F597)</f>
        <v>143.644821005954</v>
      </c>
      <c r="C597" s="10" t="n">
        <f aca="false">C596*(1+Returns!G597)</f>
        <v>360.147660147868</v>
      </c>
    </row>
    <row r="598" customFormat="false" ht="13.8" hidden="false" customHeight="false" outlineLevel="0" collapsed="false">
      <c r="A598" s="7" t="n">
        <v>43709</v>
      </c>
      <c r="B598" s="10" t="n">
        <f aca="false">B597*(1+Returns!F598)</f>
        <v>146.344050837476</v>
      </c>
      <c r="C598" s="10" t="n">
        <f aca="false">C597*(1+Returns!G598)</f>
        <v>372.222690897306</v>
      </c>
    </row>
    <row r="599" customFormat="false" ht="13.8" hidden="false" customHeight="false" outlineLevel="0" collapsed="false">
      <c r="A599" s="7" t="n">
        <v>43739</v>
      </c>
      <c r="B599" s="10" t="n">
        <f aca="false">B598*(1+Returns!F599)</f>
        <v>149.508155560634</v>
      </c>
      <c r="C599" s="10" t="n">
        <f aca="false">C598*(1+Returns!G599)</f>
        <v>377.121513732205</v>
      </c>
    </row>
    <row r="600" customFormat="false" ht="13.8" hidden="false" customHeight="false" outlineLevel="0" collapsed="false">
      <c r="A600" s="7" t="n">
        <v>43770</v>
      </c>
      <c r="B600" s="10" t="n">
        <f aca="false">B599*(1+Returns!F600)</f>
        <v>154.921247840862</v>
      </c>
      <c r="C600" s="10" t="n">
        <f aca="false">C599*(1+Returns!G600)</f>
        <v>390.138994143213</v>
      </c>
    </row>
    <row r="601" customFormat="false" ht="13.8" hidden="false" customHeight="false" outlineLevel="0" collapsed="false">
      <c r="A601" s="7" t="n">
        <v>43800</v>
      </c>
      <c r="B601" s="10" t="n">
        <f aca="false">B600*(1+Returns!F601)</f>
        <v>159.535887050298</v>
      </c>
      <c r="C601" s="10" t="n">
        <f aca="false">C600*(1+Returns!G601)</f>
        <v>401.360562031755</v>
      </c>
    </row>
    <row r="602" customFormat="false" ht="13.8" hidden="false" customHeight="false" outlineLevel="0" collapsed="false">
      <c r="A602" s="7" t="n">
        <v>43831</v>
      </c>
      <c r="B602" s="10" t="n">
        <f aca="false">B601*(1+Returns!F602)</f>
        <v>159.553116926099</v>
      </c>
      <c r="C602" s="10" t="n">
        <f aca="false">C601*(1+Returns!G602)</f>
        <v>394.301031106178</v>
      </c>
    </row>
    <row r="603" customFormat="false" ht="13.8" hidden="false" customHeight="false" outlineLevel="0" collapsed="false">
      <c r="A603" s="7" t="n">
        <v>43862</v>
      </c>
      <c r="B603" s="10" t="n">
        <f aca="false">B602*(1+Returns!F603)</f>
        <v>146.490184137125</v>
      </c>
      <c r="C603" s="10" t="n">
        <f aca="false">C602*(1+Returns!G603)</f>
        <v>358.515846727106</v>
      </c>
    </row>
    <row r="604" customFormat="false" ht="13.8" hidden="false" customHeight="false" outlineLevel="0" collapsed="false">
      <c r="A604" s="7" t="n">
        <v>43891</v>
      </c>
      <c r="B604" s="10" t="n">
        <f aca="false">B603*(1+Returns!F604)</f>
        <v>128.618821142949</v>
      </c>
      <c r="C604" s="10" t="n">
        <f aca="false">C603*(1+Returns!G604)</f>
        <v>291.111999415636</v>
      </c>
    </row>
    <row r="605" customFormat="false" ht="13.8" hidden="false" customHeight="false" outlineLevel="0" collapsed="false">
      <c r="A605" s="7" t="n">
        <v>43922</v>
      </c>
      <c r="B605" s="10" t="n">
        <f aca="false">B604*(1+Returns!F605)</f>
        <v>145.196501000063</v>
      </c>
      <c r="C605" s="10" t="n">
        <f aca="false">C604*(1+Returns!G605)</f>
        <v>333.815800833915</v>
      </c>
    </row>
    <row r="606" customFormat="false" ht="13.8" hidden="false" customHeight="false" outlineLevel="0" collapsed="false">
      <c r="A606" s="7" t="n">
        <v>43952</v>
      </c>
      <c r="B606" s="10" t="n">
        <f aca="false">B605*(1+Returns!F606)</f>
        <v>152.139507284884</v>
      </c>
      <c r="C606" s="10" t="n">
        <f aca="false">C605*(1+Returns!G606)</f>
        <v>350.033573885829</v>
      </c>
    </row>
    <row r="607" customFormat="false" ht="13.8" hidden="false" customHeight="false" outlineLevel="0" collapsed="false">
      <c r="A607" s="7" t="n">
        <v>43983</v>
      </c>
      <c r="B607" s="10" t="n">
        <f aca="false">B606*(1+Returns!F607)</f>
        <v>155.235241979117</v>
      </c>
      <c r="C607" s="10" t="n">
        <f aca="false">C606*(1+Returns!G607)</f>
        <v>354.766027804765</v>
      </c>
    </row>
    <row r="608" customFormat="false" ht="13.8" hidden="false" customHeight="false" outlineLevel="0" collapsed="false">
      <c r="A608" s="7" t="n">
        <v>44013</v>
      </c>
      <c r="B608" s="10" t="n">
        <f aca="false">B607*(1+Returns!F608)</f>
        <v>164.069679600149</v>
      </c>
      <c r="C608" s="10" t="n">
        <f aca="false">C607*(1+Returns!G608)</f>
        <v>371.414487957587</v>
      </c>
    </row>
    <row r="609" customFormat="false" ht="13.8" hidden="false" customHeight="false" outlineLevel="0" collapsed="false">
      <c r="A609" s="7" t="n">
        <v>44044</v>
      </c>
      <c r="B609" s="10" t="n">
        <f aca="false">B608*(1+Returns!F609)</f>
        <v>175.893853269572</v>
      </c>
      <c r="C609" s="10" t="n">
        <f aca="false">C608*(1+Returns!G609)</f>
        <v>388.26073488788</v>
      </c>
    </row>
    <row r="610" customFormat="false" ht="13.8" hidden="false" customHeight="false" outlineLevel="0" collapsed="false">
      <c r="A610" s="7" t="n">
        <v>44075</v>
      </c>
      <c r="B610" s="10" t="n">
        <f aca="false">B609*(1+Returns!F610)</f>
        <v>169.183326873485</v>
      </c>
      <c r="C610" s="10" t="n">
        <f aca="false">C609*(1+Returns!G610)</f>
        <v>378.477340890175</v>
      </c>
    </row>
    <row r="611" customFormat="false" ht="13.8" hidden="false" customHeight="false" outlineLevel="0" collapsed="false">
      <c r="A611" s="7" t="n">
        <v>44105</v>
      </c>
      <c r="B611" s="10" t="n">
        <f aca="false">B610*(1+Returns!F611)</f>
        <v>164.715364394083</v>
      </c>
      <c r="C611" s="10" t="n">
        <f aca="false">C610*(1+Returns!G611)</f>
        <v>376.144406560928</v>
      </c>
    </row>
    <row r="612" customFormat="false" ht="13.8" hidden="false" customHeight="false" outlineLevel="0" collapsed="false">
      <c r="A612" s="7" t="n">
        <v>44136</v>
      </c>
      <c r="B612" s="10" t="n">
        <f aca="false">B611*(1+Returns!F612)</f>
        <v>182.735884120253</v>
      </c>
      <c r="C612" s="10" t="n">
        <f aca="false">C611*(1+Returns!G612)</f>
        <v>431.322534136976</v>
      </c>
    </row>
    <row r="613" customFormat="false" ht="13.8" hidden="false" customHeight="false" outlineLevel="0" collapsed="false">
      <c r="A613" s="7" t="n">
        <v>44166</v>
      </c>
      <c r="B613" s="10" t="n">
        <f aca="false">B612*(1+Returns!F613)</f>
        <v>190.3325802949</v>
      </c>
      <c r="C613" s="10" t="n">
        <f aca="false">C612*(1+Returns!G613)</f>
        <v>449.430748087649</v>
      </c>
    </row>
    <row r="614" customFormat="false" ht="13.8" hidden="false" customHeight="false" outlineLevel="0" collapsed="false">
      <c r="A614" s="7" t="n">
        <v>44197</v>
      </c>
      <c r="B614" s="10" t="n">
        <f aca="false">B613*(1+Returns!F614)</f>
        <v>188.419357197776</v>
      </c>
      <c r="C614" s="10" t="n">
        <f aca="false">C613*(1+Returns!G614)</f>
        <v>446.56113276111</v>
      </c>
    </row>
    <row r="615" customFormat="false" ht="13.8" hidden="false" customHeight="false" outlineLevel="0" collapsed="false">
      <c r="A615" s="7" t="n">
        <v>44228</v>
      </c>
      <c r="B615" s="10" t="n">
        <f aca="false">B614*(1+Returns!F615)</f>
        <v>193.337856098067</v>
      </c>
      <c r="C615" s="10" t="n">
        <f aca="false">C614*(1+Returns!G615)</f>
        <v>474.890077901209</v>
      </c>
    </row>
    <row r="616" customFormat="false" ht="13.8" hidden="false" customHeight="false" outlineLevel="0" collapsed="false">
      <c r="A616" s="7" t="n">
        <v>44256</v>
      </c>
      <c r="B616" s="10" t="n">
        <f aca="false">B615*(1+Returns!F616)</f>
        <v>201.712091997098</v>
      </c>
      <c r="C616" s="10" t="n">
        <f aca="false">C615*(1+Returns!G616)</f>
        <v>502.028146292951</v>
      </c>
    </row>
    <row r="617" customFormat="false" ht="13.8" hidden="false" customHeight="false" outlineLevel="0" collapsed="false">
      <c r="A617" s="7" t="n">
        <v>44287</v>
      </c>
      <c r="B617" s="10" t="n">
        <f aca="false">B616*(1+Returns!F617)</f>
        <v>212.58518060411</v>
      </c>
      <c r="C617" s="10" t="n">
        <f aca="false">C616*(1+Returns!G617)</f>
        <v>525.673671983349</v>
      </c>
    </row>
    <row r="618" customFormat="false" ht="13.8" hidden="false" customHeight="false" outlineLevel="0" collapsed="false">
      <c r="A618" s="7" t="n">
        <v>44317</v>
      </c>
      <c r="B618" s="10" t="n">
        <f aca="false">B617*(1+Returns!F618)</f>
        <v>213.9049094053</v>
      </c>
      <c r="C618" s="10" t="n">
        <f aca="false">C617*(1+Returns!G618)</f>
        <v>535.861753420059</v>
      </c>
    </row>
    <row r="619" customFormat="false" ht="13.8" hidden="false" customHeight="false" outlineLevel="0" collapsed="false">
      <c r="A619" s="7" t="n">
        <v>44348</v>
      </c>
      <c r="B619" s="10" t="n">
        <f aca="false">B618*(1+Returns!F619)</f>
        <v>218.970605469836</v>
      </c>
      <c r="C619" s="10" t="n">
        <f aca="false">C618*(1+Returns!G619)</f>
        <v>536.501036491889</v>
      </c>
    </row>
    <row r="620" customFormat="false" ht="13.8" hidden="false" customHeight="false" outlineLevel="0" collapsed="false">
      <c r="A620" s="7" t="n">
        <v>44378</v>
      </c>
      <c r="B620" s="10" t="n">
        <f aca="false">B619*(1+Returns!F620)</f>
        <v>224.292686035781</v>
      </c>
      <c r="C620" s="10" t="n">
        <f aca="false">C619*(1+Returns!G620)</f>
        <v>543.119313278053</v>
      </c>
    </row>
    <row r="621" customFormat="false" ht="13.8" hidden="false" customHeight="false" outlineLevel="0" collapsed="false">
      <c r="A621" s="7" t="n">
        <v>44409</v>
      </c>
      <c r="B621" s="10" t="n">
        <f aca="false">B620*(1+Returns!F621)</f>
        <v>231.156042228476</v>
      </c>
      <c r="C621" s="10" t="n">
        <f aca="false">C620*(1+Returns!G621)</f>
        <v>555.804951078288</v>
      </c>
    </row>
    <row r="622" customFormat="false" ht="13.8" hidden="false" customHeight="false" outlineLevel="0" collapsed="false">
      <c r="A622" s="7" t="n">
        <v>44440</v>
      </c>
      <c r="B622" s="10" t="n">
        <f aca="false">B621*(1+Returns!F622)</f>
        <v>220.505065270714</v>
      </c>
      <c r="C622" s="10" t="n">
        <f aca="false">C621*(1+Returns!G622)</f>
        <v>534.911687162304</v>
      </c>
    </row>
    <row r="623" customFormat="false" ht="13.8" hidden="false" customHeight="false" outlineLevel="0" collapsed="false">
      <c r="A623" s="7" t="n">
        <v>44470</v>
      </c>
      <c r="B623" s="10" t="n">
        <f aca="false">B622*(1+Returns!F623)</f>
        <v>236.052877422952</v>
      </c>
      <c r="C623" s="10" t="n">
        <f aca="false">C622*(1+Returns!G623)</f>
        <v>563.164117743156</v>
      </c>
    </row>
    <row r="624" customFormat="false" ht="13.8" hidden="false" customHeight="false" outlineLevel="0" collapsed="false">
      <c r="A624" s="7" t="n">
        <v>44501</v>
      </c>
      <c r="B624" s="10" t="n">
        <f aca="false">B623*(1+Returns!F624)</f>
        <v>234.340077744371</v>
      </c>
      <c r="C624" s="10" t="n">
        <f aca="false">C623*(1+Returns!G624)</f>
        <v>548.677847142449</v>
      </c>
    </row>
    <row r="625" customFormat="false" ht="13.8" hidden="false" customHeight="false" outlineLevel="0" collapsed="false">
      <c r="A625" s="7" t="n">
        <v>44531</v>
      </c>
      <c r="B625" s="10" t="n">
        <f aca="false">B624*(1+Returns!F625)</f>
        <v>244.530356025085</v>
      </c>
      <c r="C625" s="10" t="n">
        <f aca="false">C624*(1+Returns!G625)</f>
        <v>583.59076723397</v>
      </c>
    </row>
    <row r="626" customFormat="false" ht="13.8" hidden="false" customHeight="false" outlineLevel="0" collapsed="false">
      <c r="A626" s="7" t="n">
        <v>44562</v>
      </c>
      <c r="B626" s="10" t="n">
        <f aca="false">B625*(1+Returns!F626)</f>
        <v>231.755356635267</v>
      </c>
      <c r="C626" s="10" t="n">
        <f aca="false">C625*(1+Returns!G626)</f>
        <v>558.683113288424</v>
      </c>
    </row>
    <row r="627" customFormat="false" ht="13.8" hidden="false" customHeight="false" outlineLevel="0" collapsed="false">
      <c r="A627" s="7" t="n">
        <v>44593</v>
      </c>
      <c r="B627" s="10" t="n">
        <f aca="false">B626*(1+Returns!F627)</f>
        <v>224.96654697335</v>
      </c>
      <c r="C627" s="10" t="n">
        <f aca="false">C626*(1+Returns!G627)</f>
        <v>553.009127589867</v>
      </c>
    </row>
    <row r="628" customFormat="false" ht="13.8" hidden="false" customHeight="false" outlineLevel="0" collapsed="false">
      <c r="A628" s="7" t="n">
        <v>44621</v>
      </c>
      <c r="B628" s="10" t="n">
        <f aca="false">B627*(1+Returns!F628)</f>
        <v>233.498403267314</v>
      </c>
      <c r="C628" s="10" t="n">
        <f aca="false">C627*(1+Returns!G628)</f>
        <v>568.019454340038</v>
      </c>
    </row>
    <row r="629" customFormat="false" ht="13.8" hidden="false" customHeight="false" outlineLevel="0" collapsed="false">
      <c r="A629" s="7" t="n">
        <v>44652</v>
      </c>
      <c r="B629" s="10" t="n">
        <f aca="false">B628*(1+Returns!F629)</f>
        <v>213.049313604373</v>
      </c>
      <c r="C629" s="10" t="n">
        <f aca="false">C628*(1+Returns!G629)</f>
        <v>532.122328884111</v>
      </c>
    </row>
    <row r="630" customFormat="false" ht="13.8" hidden="false" customHeight="false" outlineLevel="0" collapsed="false">
      <c r="A630" s="7" t="n">
        <v>44682</v>
      </c>
      <c r="B630" s="10" t="n">
        <f aca="false">B629*(1+Returns!F630)</f>
        <v>213.128994047661</v>
      </c>
      <c r="C630" s="10" t="n">
        <f aca="false">C629*(1+Returns!G630)</f>
        <v>537.433973971032</v>
      </c>
    </row>
    <row r="631" customFormat="false" ht="13.8" hidden="false" customHeight="false" outlineLevel="0" collapsed="false">
      <c r="A631" s="7" t="n">
        <v>44713</v>
      </c>
      <c r="B631" s="10" t="n">
        <f aca="false">B630*(1+Returns!F631)</f>
        <v>195.719978426866</v>
      </c>
      <c r="C631" s="10" t="n">
        <f aca="false">C630*(1+Returns!G631)</f>
        <v>487.519793638472</v>
      </c>
    </row>
    <row r="632" customFormat="false" ht="13.8" hidden="false" customHeight="false" outlineLevel="0" collapsed="false">
      <c r="A632" s="7" t="n">
        <v>44743</v>
      </c>
      <c r="B632" s="10" t="n">
        <f aca="false">B631*(1+Returns!F632)</f>
        <v>214.071857924039</v>
      </c>
      <c r="C632" s="10" t="n">
        <f aca="false">C631*(1+Returns!G632)</f>
        <v>530.390821731659</v>
      </c>
    </row>
    <row r="633" customFormat="false" ht="13.8" hidden="false" customHeight="false" outlineLevel="0" collapsed="false">
      <c r="A633" s="7" t="n">
        <v>44774</v>
      </c>
      <c r="B633" s="10" t="n">
        <f aca="false">B632*(1+Returns!F633)</f>
        <v>205.44583240899</v>
      </c>
      <c r="C633" s="10" t="n">
        <f aca="false">C632*(1+Returns!G633)</f>
        <v>512.47634133685</v>
      </c>
    </row>
    <row r="634" customFormat="false" ht="13.8" hidden="false" customHeight="false" outlineLevel="0" collapsed="false">
      <c r="A634" s="7" t="n">
        <v>44805</v>
      </c>
      <c r="B634" s="10" t="n">
        <f aca="false">B633*(1+Returns!F634)</f>
        <v>186.648565972729</v>
      </c>
      <c r="C634" s="10" t="n">
        <f aca="false">C633*(1+Returns!G634)</f>
        <v>464.840127980566</v>
      </c>
    </row>
    <row r="635" customFormat="false" ht="13.8" hidden="false" customHeight="false" outlineLevel="0" collapsed="false">
      <c r="A635" s="7" t="n">
        <v>44835</v>
      </c>
      <c r="B635" s="10" t="n">
        <f aca="false">B634*(1+Returns!F635)</f>
        <v>201.626926743475</v>
      </c>
      <c r="C635" s="10" t="n">
        <f aca="false">C634*(1+Returns!G635)</f>
        <v>509.756235026944</v>
      </c>
    </row>
    <row r="636" customFormat="false" ht="13.8" hidden="false" customHeight="false" outlineLevel="0" collapsed="false">
      <c r="A636" s="7" t="n">
        <v>44866</v>
      </c>
      <c r="B636" s="10" t="n">
        <f aca="false">B635*(1+Returns!F636)</f>
        <v>212.548049230535</v>
      </c>
      <c r="C636" s="10" t="n">
        <f aca="false">C635*(1+Returns!G636)</f>
        <v>544.934512806154</v>
      </c>
    </row>
    <row r="637" customFormat="false" ht="13.8" hidden="false" customHeight="false" outlineLevel="0" collapsed="false">
      <c r="A637" s="7" t="n">
        <v>44896</v>
      </c>
      <c r="B637" s="10" t="n">
        <f aca="false">B636*(1+Returns!F637)</f>
        <v>200.053624704568</v>
      </c>
      <c r="C637" s="10" t="n">
        <f aca="false">C636*(1+Returns!G637)</f>
        <v>518.355331944034</v>
      </c>
    </row>
    <row r="638" customFormat="false" ht="13.8" hidden="false" customHeight="false" outlineLevel="0" collapsed="false">
      <c r="A638" s="7" t="n">
        <v>44927</v>
      </c>
      <c r="B638" s="10" t="n">
        <f aca="false">B637*(1+Returns!F638)</f>
        <v>212.819046496966</v>
      </c>
      <c r="C638" s="10" t="n">
        <f aca="false">C637*(1+Returns!G638)</f>
        <v>557.558027343629</v>
      </c>
    </row>
    <row r="639" customFormat="false" ht="13.8" hidden="false" customHeight="false" outlineLevel="0" collapsed="false">
      <c r="A639" s="7" t="n">
        <v>44958</v>
      </c>
      <c r="B639" s="10" t="n">
        <f aca="false">B638*(1+Returns!F639)</f>
        <v>207.654992333717</v>
      </c>
      <c r="C639" s="10" t="n">
        <f aca="false">C638*(1+Returns!G639)</f>
        <v>538.908268887012</v>
      </c>
    </row>
    <row r="640" customFormat="false" ht="13.8" hidden="false" customHeight="false" outlineLevel="0" collapsed="false">
      <c r="A640" s="7" t="n">
        <v>44986</v>
      </c>
      <c r="B640" s="10" t="n">
        <f aca="false">B639*(1+Returns!F640)</f>
        <v>215.437693791392</v>
      </c>
      <c r="C640" s="10" t="n">
        <f aca="false">C639*(1+Returns!G640)</f>
        <v>537.43219913853</v>
      </c>
    </row>
    <row r="641" customFormat="false" ht="13.8" hidden="false" customHeight="false" outlineLevel="0" collapsed="false">
      <c r="A641" s="7" t="n">
        <v>45017</v>
      </c>
      <c r="B641" s="10" t="n">
        <f aca="false">B640*(1+Returns!F641)</f>
        <v>218.67249076367</v>
      </c>
      <c r="C641" s="10" t="n">
        <f aca="false">C640*(1+Returns!G641)</f>
        <v>538.569405671907</v>
      </c>
    </row>
    <row r="642" customFormat="false" ht="13.8" hidden="false" customHeight="false" outlineLevel="0" collapsed="false">
      <c r="A642" s="7" t="n">
        <v>45047</v>
      </c>
      <c r="B642" s="10" t="n">
        <f aca="false">B641*(1+Returns!F642)</f>
        <v>219.832766999662</v>
      </c>
      <c r="C642" s="10" t="n">
        <f aca="false">C641*(1+Returns!G642)</f>
        <v>518.190477930688</v>
      </c>
    </row>
    <row r="643" customFormat="false" ht="13.8" hidden="false" customHeight="false" outlineLevel="0" collapsed="false">
      <c r="A643" s="7" t="n">
        <v>45078</v>
      </c>
      <c r="B643" s="10" t="n">
        <f aca="false">B642*(1+Returns!F643)</f>
        <v>234.551010415824</v>
      </c>
      <c r="C643" s="10" t="n">
        <f aca="false">C642*(1+Returns!G643)</f>
        <v>558.955486448539</v>
      </c>
    </row>
    <row r="644" customFormat="false" ht="13.8" hidden="false" customHeight="false" outlineLevel="0" collapsed="false">
      <c r="A644" s="7" t="n">
        <v>45108</v>
      </c>
      <c r="B644" s="10" t="n">
        <f aca="false">B643*(1+Returns!F644)</f>
        <v>241.986277446005</v>
      </c>
      <c r="C644" s="10" t="n">
        <f aca="false">C643*(1+Returns!G644)</f>
        <v>578.6854972092</v>
      </c>
    </row>
    <row r="645" customFormat="false" ht="13.8" hidden="false" customHeight="false" outlineLevel="0" collapsed="false">
      <c r="A645" s="7" t="n">
        <v>45139</v>
      </c>
      <c r="B645" s="10" t="n">
        <f aca="false">B644*(1+Returns!F645)</f>
        <v>238.253881102678</v>
      </c>
      <c r="C645" s="10" t="n">
        <f aca="false">C644*(1+Returns!G645)</f>
        <v>560.836521733279</v>
      </c>
    </row>
    <row r="646" customFormat="false" ht="13.8" hidden="false" customHeight="false" outlineLevel="0" collapsed="false">
      <c r="A646" s="7" t="n">
        <v>45170</v>
      </c>
      <c r="B646" s="10" t="n">
        <f aca="false">B645*(1+Returns!F646)</f>
        <v>226.921096994148</v>
      </c>
      <c r="C646" s="10" t="n">
        <f aca="false">C645*(1+Returns!G646)</f>
        <v>532.616910469226</v>
      </c>
    </row>
    <row r="647" customFormat="false" ht="13.8" hidden="false" customHeight="false" outlineLevel="0" collapsed="false">
      <c r="A647" s="7" t="n">
        <v>45200</v>
      </c>
      <c r="B647" s="10" t="n">
        <f aca="false">B646*(1+Returns!F647)</f>
        <v>222.146677113391</v>
      </c>
      <c r="C647" s="10" t="n">
        <f aca="false">C646*(1+Returns!G647)</f>
        <v>510.865368462573</v>
      </c>
    </row>
    <row r="648" customFormat="false" ht="13.8" hidden="false" customHeight="false" outlineLevel="0" collapsed="false">
      <c r="A648" s="7" t="n">
        <v>45231</v>
      </c>
      <c r="B648" s="10" t="n">
        <f aca="false">B647*(1+Returns!F648)</f>
        <v>242.318483981996</v>
      </c>
      <c r="C648" s="10" t="n">
        <f aca="false">C647*(1+Returns!G648)</f>
        <v>558.259370425583</v>
      </c>
    </row>
    <row r="649" customFormat="false" ht="13.8" hidden="false" customHeight="false" outlineLevel="0" collapsed="false">
      <c r="A649" s="7" t="n">
        <v>45261</v>
      </c>
      <c r="B649" s="10" t="n">
        <f aca="false">B648*(1+Returns!F649)</f>
        <v>253.34542891408</v>
      </c>
      <c r="C649" s="10" t="n">
        <f aca="false">C648*(1+Returns!G649)</f>
        <v>597.707094058596</v>
      </c>
    </row>
    <row r="650" customFormat="false" ht="13.8" hidden="false" customHeight="false" outlineLevel="0" collapsed="false">
      <c r="A650" s="7" t="n">
        <v>45292</v>
      </c>
      <c r="B650" s="10" t="n">
        <f aca="false">B649*(1+Returns!F650)</f>
        <v>257.356140399219</v>
      </c>
      <c r="C650" s="10" t="n">
        <f aca="false">C649*(1+Returns!G650)</f>
        <v>593.374913040859</v>
      </c>
    </row>
    <row r="651" customFormat="false" ht="13.8" hidden="false" customHeight="false" outlineLevel="0" collapsed="false">
      <c r="A651" s="7" t="n">
        <v>45323</v>
      </c>
      <c r="B651" s="10" t="n">
        <f aca="false">B650*(1+Returns!F651)</f>
        <v>271.00399388073</v>
      </c>
      <c r="C651" s="10" t="n">
        <f aca="false">C650*(1+Returns!G651)</f>
        <v>617.395916270579</v>
      </c>
    </row>
    <row r="652" customFormat="false" ht="13.8" hidden="false" customHeight="false" outlineLevel="0" collapsed="false">
      <c r="A652" s="7" t="n">
        <v>45352</v>
      </c>
      <c r="B652" s="10" t="n">
        <f aca="false">B651*(1+Returns!F652)</f>
        <v>279.733303527622</v>
      </c>
      <c r="C652" s="10" t="n">
        <f aca="false">C651*(1+Returns!G652)</f>
        <v>645.500395775132</v>
      </c>
    </row>
    <row r="653" customFormat="false" ht="13.8" hidden="false" customHeight="false" outlineLevel="0" collapsed="false">
      <c r="A653" s="7" t="n">
        <v>45383</v>
      </c>
      <c r="B653" s="10" t="n">
        <f aca="false">B652*(1+Returns!F653)</f>
        <v>268.599918047223</v>
      </c>
      <c r="C653" s="10" t="n">
        <f aca="false">C652*(1+Returns!G653)</f>
        <v>614.007722466055</v>
      </c>
    </row>
    <row r="654" customFormat="false" ht="13.8" hidden="false" customHeight="false" outlineLevel="0" collapsed="false">
      <c r="A654" s="7" t="n">
        <v>45413</v>
      </c>
      <c r="B654" s="10" t="n">
        <f aca="false">B653*(1+Returns!F654)</f>
        <v>281.877080596215</v>
      </c>
      <c r="C654" s="10" t="n">
        <f aca="false">C653*(1+Returns!G654)</f>
        <v>631.328880316822</v>
      </c>
    </row>
    <row r="655" customFormat="false" ht="13.8" hidden="false" customHeight="false" outlineLevel="0" collapsed="false">
      <c r="A655" s="7" t="n">
        <v>45444</v>
      </c>
      <c r="B655" s="10" t="n">
        <f aca="false">B654*(1+Returns!F655)</f>
        <v>292.362626117314</v>
      </c>
      <c r="C655" s="10" t="n">
        <f aca="false">C654*(1+Returns!G655)</f>
        <v>629.495501248382</v>
      </c>
    </row>
    <row r="656" customFormat="false" ht="13.8" hidden="false" customHeight="false" outlineLevel="0" collapsed="false">
      <c r="A656" s="7" t="n">
        <v>45474</v>
      </c>
      <c r="B656" s="10" t="n">
        <f aca="false">B655*(1+Returns!F656)</f>
        <v>295.914247299387</v>
      </c>
      <c r="C656" s="10" t="n">
        <f aca="false">C655*(1+Returns!G656)</f>
        <v>657.699417686315</v>
      </c>
    </row>
    <row r="657" customFormat="false" ht="13.8" hidden="false" customHeight="false" outlineLevel="0" collapsed="false">
      <c r="A657" s="7" t="n">
        <v>45505</v>
      </c>
      <c r="B657" s="10" t="n">
        <f aca="false">B656*(1+Returns!F657)</f>
        <v>303.099932966558</v>
      </c>
      <c r="C657" s="10" t="n">
        <f aca="false">C656*(1+Returns!G657)</f>
        <v>674.104414261665</v>
      </c>
    </row>
    <row r="658" customFormat="false" ht="13.8" hidden="false" customHeight="false" outlineLevel="0" collapsed="false">
      <c r="A658" s="7" t="n">
        <v>45536</v>
      </c>
      <c r="B658" s="10" t="n">
        <f aca="false">B657*(1+Returns!F658)</f>
        <v>310.016976536788</v>
      </c>
      <c r="C658" s="10" t="n">
        <f aca="false">C657*(1+Returns!G658)</f>
        <v>689.840033603775</v>
      </c>
    </row>
    <row r="659" customFormat="false" ht="13.8" hidden="false" customHeight="false" outlineLevel="0" collapsed="false">
      <c r="A659" s="7" t="n">
        <v>45566</v>
      </c>
      <c r="B659" s="10" t="n">
        <f aca="false">B658*(1+Returns!F659)</f>
        <v>307.322929010683</v>
      </c>
      <c r="C659" s="10" t="n">
        <f aca="false">C658*(1+Returns!G659)</f>
        <v>678.519758652337</v>
      </c>
    </row>
    <row r="660" customFormat="false" ht="13.8" hidden="false" customHeight="false" outlineLevel="0" collapsed="false">
      <c r="A660" s="7" t="n">
        <v>45597</v>
      </c>
      <c r="B660" s="10" t="n">
        <f aca="false">B659*(1+Returns!F660)</f>
        <v>325.891380381509</v>
      </c>
      <c r="C660" s="10" t="n">
        <f aca="false">C659*(1+Returns!G660)</f>
        <v>720.622588196473</v>
      </c>
    </row>
    <row r="661" customFormat="false" ht="13.8" hidden="false" customHeight="false" outlineLevel="0" collapsed="false">
      <c r="A661" s="7" t="n">
        <v>45627</v>
      </c>
      <c r="B661" s="10" t="n">
        <f aca="false">B660*(1+Returns!F661)</f>
        <v>318.250856968464</v>
      </c>
      <c r="C661" s="10" t="n">
        <f aca="false">C660*(1+Returns!G661)</f>
        <v>675.430904445496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3" activeCellId="0" sqref="D1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2" width="13.52"/>
  </cols>
  <sheetData>
    <row r="2" customFormat="false" ht="13.8" hidden="false" customHeight="false" outlineLevel="0" collapsed="false">
      <c r="B2" s="2" t="s">
        <v>14</v>
      </c>
      <c r="C2" s="2" t="s">
        <v>15</v>
      </c>
      <c r="D2" s="2" t="s">
        <v>16</v>
      </c>
      <c r="E2" s="2" t="s">
        <v>17</v>
      </c>
      <c r="G2" s="2" t="s">
        <v>18</v>
      </c>
    </row>
    <row r="3" customFormat="false" ht="13.8" hidden="false" customHeight="false" outlineLevel="0" collapsed="false">
      <c r="A3" s="2" t="s">
        <v>19</v>
      </c>
      <c r="B3" s="12" t="n">
        <f aca="false" t="array" ref="B3:E3">LINEST(Returns!I2:I661,Returns!C2:E661)</f>
        <v>0.0139669096690419</v>
      </c>
      <c r="C3" s="12" t="n">
        <v>-0.180144626287205</v>
      </c>
      <c r="D3" s="12" t="n">
        <v>0.992611105910528</v>
      </c>
      <c r="E3" s="1" t="n">
        <v>0.00018435133489723</v>
      </c>
      <c r="G3" s="1" t="n">
        <f aca="false">AVERAGE(Returns!I2:I661)</f>
        <v>0.00613211666666667</v>
      </c>
    </row>
    <row r="4" customFormat="false" ht="13.8" hidden="false" customHeight="false" outlineLevel="0" collapsed="false">
      <c r="A4" s="2" t="s">
        <v>20</v>
      </c>
      <c r="B4" s="12" t="n">
        <f aca="false" t="array" ref="B4:E4">LINEST(Returns!J2:J661,Returns!C2:E661)</f>
        <v>0.297083236295972</v>
      </c>
      <c r="C4" s="12" t="n">
        <v>0.109422489265935</v>
      </c>
      <c r="D4" s="12" t="n">
        <v>1.08135197067029</v>
      </c>
      <c r="E4" s="1" t="n">
        <v>1.22945871225359E-005</v>
      </c>
      <c r="G4" s="1" t="n">
        <f aca="false">AVERAGE(Returns!J2:J661)</f>
        <v>0.00759375151515152</v>
      </c>
    </row>
    <row r="6" customFormat="false" ht="13.8" hidden="false" customHeight="false" outlineLevel="0" collapsed="false">
      <c r="A6" s="2" t="s">
        <v>21</v>
      </c>
      <c r="B6" s="1" t="n">
        <f aca="false">AVERAGE(Returns!E2:E661)</f>
        <v>0.00292015151515152</v>
      </c>
      <c r="C6" s="1" t="n">
        <f aca="false">AVERAGE(Returns!D2:D661)</f>
        <v>0.000912272727272727</v>
      </c>
      <c r="D6" s="1" t="n">
        <f aca="false">AVERAGE(Returns!C2:C661)</f>
        <v>0.00611651515151515</v>
      </c>
    </row>
    <row r="7" customFormat="false" ht="13.8" hidden="false" customHeight="false" outlineLevel="0" collapsed="false">
      <c r="G7" s="2" t="s">
        <v>22</v>
      </c>
    </row>
    <row r="8" customFormat="false" ht="13.8" hidden="false" customHeight="false" outlineLevel="0" collapsed="false">
      <c r="A8" s="2" t="s">
        <v>23</v>
      </c>
      <c r="B8" s="1" t="n">
        <f aca="false">B3*B6</f>
        <v>4.07854924320371E-005</v>
      </c>
      <c r="C8" s="1" t="n">
        <f aca="false">C3*C6</f>
        <v>-0.000164341029526554</v>
      </c>
      <c r="D8" s="1" t="n">
        <f aca="false">D3*D6</f>
        <v>0.00607132086886395</v>
      </c>
      <c r="G8" s="1" t="n">
        <f aca="false">SUM(B8:D8)</f>
        <v>0.00594776533176944</v>
      </c>
    </row>
    <row r="9" customFormat="false" ht="13.8" hidden="false" customHeight="false" outlineLevel="0" collapsed="false">
      <c r="A9" s="2" t="s">
        <v>24</v>
      </c>
      <c r="B9" s="1" t="n">
        <f aca="false">B4*B6</f>
        <v>0.0008675280625958</v>
      </c>
      <c r="C9" s="1" t="n">
        <f aca="false">C4*C6</f>
        <v>9.98231527076053E-005</v>
      </c>
      <c r="D9" s="1" t="n">
        <f aca="false">D4*D6</f>
        <v>0.00661410571272557</v>
      </c>
      <c r="G9" s="1" t="n">
        <f aca="false">SUM(B9:D9)</f>
        <v>0.00758145692802898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2025-11-13T11:17:54Z</dcterms:created>
  <dc:creator/>
  <dc:description/>
  <dc:language>en-US</dc:language>
  <cp:lastModifiedBy/>
  <dcterms:modified xsi:type="dcterms:W3CDTF">2025-11-14T17:22:32Z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