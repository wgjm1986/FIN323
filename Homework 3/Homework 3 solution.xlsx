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Excess returns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<sst xmlns="http://schemas.openxmlformats.org/spreadsheetml/2006/main" count="72" uniqueCount="53">
  <si>
    <t xml:space="preserve">Month</t>
  </si>
  <si>
    <t xml:space="preserve">Risk-free return</t>
  </si>
  <si>
    <t xml:space="preserve">VFINX return</t>
  </si>
  <si>
    <t xml:space="preserve">FBDIX return</t>
  </si>
  <si>
    <t xml:space="preserve">FKUTX return</t>
  </si>
  <si>
    <t xml:space="preserve">PTLAX return</t>
  </si>
  <si>
    <t xml:space="preserve">VMNFX return</t>
  </si>
  <si>
    <t xml:space="preserve">50/50 FKUTX VMNFX</t>
  </si>
  <si>
    <t xml:space="preserve">Fund:</t>
  </si>
  <si>
    <t xml:space="preserve">VFINX</t>
  </si>
  <si>
    <t xml:space="preserve">FBDIX</t>
  </si>
  <si>
    <t xml:space="preserve">FKUTX</t>
  </si>
  <si>
    <t xml:space="preserve">PTLAX</t>
  </si>
  <si>
    <t xml:space="preserve">VMNFX</t>
  </si>
  <si>
    <t xml:space="preserve">1. Which funds, if any, had Sharpe ratios higher than VFINX in the data?</t>
  </si>
  <si>
    <t xml:space="preserve">Average excess return</t>
  </si>
  <si>
    <t xml:space="preserve">Volatility of excess return</t>
  </si>
  <si>
    <t xml:space="preserve">Sharpe ratio</t>
  </si>
  <si>
    <t xml:space="preserve">Answer:</t>
  </si>
  <si>
    <t xml:space="preserve">None of the funds had a higher Sharpe ratio than VFINX in this data.</t>
  </si>
  <si>
    <t xml:space="preserve">2. Calculate the beta and alpha of each fund with respect to VFINX, using the formulas in the slides.</t>
  </si>
  <si>
    <t xml:space="preserve">Correlation w/ VFINX</t>
  </si>
  <si>
    <t xml:space="preserve">Beta w.r.t. VFINX</t>
  </si>
  <si>
    <t xml:space="preserve">Alpha w.r.t. VFINX</t>
  </si>
  <si>
    <r>
      <rPr>
        <b val="true"/>
        <sz val="11"/>
        <color rgb="FF000000"/>
        <rFont val="Calibri"/>
        <family val="2"/>
        <charset val="1"/>
      </rPr>
      <t xml:space="preserve">3. Calculate the same numbers by running a regression. </t>
    </r>
    <r>
      <rPr>
        <sz val="11"/>
        <color rgb="FF000000"/>
        <rFont val="Calibri"/>
        <family val="2"/>
        <charset val="1"/>
      </rPr>
      <t xml:space="preserve">I will use Excel’s SLOPE and INTERCEPT functions.</t>
    </r>
  </si>
  <si>
    <t xml:space="preserve">4. For each fund, calculate its information ratio with respect to VFINX.</t>
  </si>
  <si>
    <t xml:space="preserve">Then determine the highest Sharpe ratio that an investor could achieve by allocating only between VFINX and that fund.</t>
  </si>
  <si>
    <t xml:space="preserve">SD of regression residuals</t>
  </si>
  <si>
    <t xml:space="preserve">Information ratio (using formula from slides)</t>
  </si>
  <si>
    <t xml:space="preserve">Maximum Sharpe ratio (also on slides)</t>
  </si>
  <si>
    <t xml:space="preserve">5. Suppose a fund manager follows a strategy of allocating half of invested funds to VMNFX, and half to FKUTX.</t>
  </si>
  <si>
    <t xml:space="preserve">What is the information ratio of this strategy (with respect to VFINX)?</t>
  </si>
  <si>
    <t xml:space="preserve">If an investor divides her money between this fund and VFINX, what is the highest Sharpe ratio that she can achieve? </t>
  </si>
  <si>
    <t xml:space="preserve">What weighting of VFINX and the manager's strategy will achieve this Sharpe ratio?</t>
  </si>
  <si>
    <t xml:space="preserve">Using formulas without explicitly simulating the strategy:</t>
  </si>
  <si>
    <t xml:space="preserve">Average excess return of 50/50 strategy:</t>
  </si>
  <si>
    <t xml:space="preserve">Volatility of excess return of 50/50 strategy:</t>
  </si>
  <si>
    <t xml:space="preserve">Correlation of excess return w/VFINX:</t>
  </si>
  <si>
    <t xml:space="preserve">Beta of the 50/50 strategy using formula:</t>
  </si>
  <si>
    <t xml:space="preserve">Beta of the 50/50 strategy using SLOPE:</t>
  </si>
  <si>
    <t xml:space="preserve">Alpha of the 50/50 strategy using formula:</t>
  </si>
  <si>
    <t xml:space="preserve">Alpha of the 50/50 strategy using INTERCEPT:</t>
  </si>
  <si>
    <t xml:space="preserve">SD of regression residuals using formula:</t>
  </si>
  <si>
    <t xml:space="preserve">Information ratio of 50/50 strategy</t>
  </si>
  <si>
    <t xml:space="preserve">Max attainable Sharpe ratio</t>
  </si>
  <si>
    <t xml:space="preserve">Portfolio weights to achieve the above Sharpe ratio (using matrix formulas, but you can also do it by trial and error):</t>
  </si>
  <si>
    <t xml:space="preserve">Covariance matrix:</t>
  </si>
  <si>
    <t xml:space="preserve">50/50</t>
  </si>
  <si>
    <t xml:space="preserve">Average excess returns:</t>
  </si>
  <si>
    <t xml:space="preserve">Optimal weights, unscaled:</t>
  </si>
  <si>
    <t xml:space="preserve">Optimal weights, scaled:</t>
  </si>
  <si>
    <t xml:space="preserve">Check that this portfolio achieves the SR we calculated earlier:</t>
  </si>
  <si>
    <t xml:space="preserve">Sharpe ratio: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</si>
</sst>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yyyy\-mm"/>
    <numFmt numFmtId="167" formatCode="0.0000%"/>
    <numFmt numFmtId="168" formatCode="0.0000"/>
    <numFmt numFmtId="169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5.2"/>
    <col collapsed="false" customWidth="true" hidden="false" outlineLevel="0" max="3" min="3" style="1" width="12.7"/>
    <col collapsed="false" customWidth="true" hidden="false" outlineLevel="0" max="4" min="4" style="1" width="12.42"/>
    <col collapsed="false" customWidth="true" hidden="false" outlineLevel="0" max="5" min="5" style="1" width="12.98"/>
    <col collapsed="false" customWidth="true" hidden="false" outlineLevel="0" max="6" min="6" style="1" width="12.7"/>
    <col collapsed="false" customWidth="true" hidden="false" outlineLevel="0" max="7" min="7" style="1" width="13.9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4" t="n">
        <v>38353</v>
      </c>
      <c r="B2" s="1" t="n">
        <v>0.0016</v>
      </c>
      <c r="C2" s="1" t="n">
        <v>-0.0245431744894302</v>
      </c>
      <c r="D2" s="1" t="n">
        <v>-0.0616846813268728</v>
      </c>
      <c r="E2" s="1" t="n">
        <v>0.00901713255184844</v>
      </c>
      <c r="F2" s="1" t="n">
        <v>-0.00128428565294125</v>
      </c>
      <c r="G2" s="1" t="n">
        <v>0.00272975432211098</v>
      </c>
    </row>
    <row r="3" customFormat="false" ht="15" hidden="false" customHeight="false" outlineLevel="0" collapsed="false">
      <c r="A3" s="4" t="n">
        <v>38384</v>
      </c>
      <c r="B3" s="1" t="n">
        <v>0.0016</v>
      </c>
      <c r="C3" s="1" t="n">
        <v>0.0209366391184573</v>
      </c>
      <c r="D3" s="1" t="n">
        <v>-0.0699106256206554</v>
      </c>
      <c r="E3" s="1" t="n">
        <v>0.00804289544235926</v>
      </c>
      <c r="F3" s="1" t="n">
        <v>-0.00171223952900679</v>
      </c>
      <c r="G3" s="1" t="n">
        <v>0.0208711433756805</v>
      </c>
    </row>
    <row r="4" customFormat="false" ht="15" hidden="false" customHeight="false" outlineLevel="0" collapsed="false">
      <c r="A4" s="4" t="n">
        <v>38412</v>
      </c>
      <c r="B4" s="1" t="n">
        <v>0.0021</v>
      </c>
      <c r="C4" s="1" t="n">
        <v>-0.0176004184193466</v>
      </c>
      <c r="D4" s="1" t="n">
        <v>-0.0345932094811018</v>
      </c>
      <c r="E4" s="1" t="n">
        <v>0.00272432863885319</v>
      </c>
      <c r="F4" s="1" t="n">
        <v>-0.00105489260552283</v>
      </c>
      <c r="G4" s="1" t="n">
        <v>0.0186666666666668</v>
      </c>
    </row>
    <row r="5" customFormat="false" ht="15" hidden="false" customHeight="false" outlineLevel="0" collapsed="false">
      <c r="A5" s="4" t="n">
        <v>38443</v>
      </c>
      <c r="B5" s="1" t="n">
        <v>0.0021</v>
      </c>
      <c r="C5" s="1" t="n">
        <v>-0.0191194043570182</v>
      </c>
      <c r="D5" s="1" t="n">
        <v>0.0185799601857994</v>
      </c>
      <c r="E5" s="1" t="n">
        <v>0.0223015165031222</v>
      </c>
      <c r="F5" s="1" t="n">
        <v>0.00612547988921874</v>
      </c>
      <c r="G5" s="1" t="n">
        <v>-0.0253054101221641</v>
      </c>
    </row>
    <row r="6" customFormat="false" ht="15" hidden="false" customHeight="false" outlineLevel="0" collapsed="false">
      <c r="A6" s="4" t="n">
        <v>38473</v>
      </c>
      <c r="B6" s="1" t="n">
        <v>0.0024</v>
      </c>
      <c r="C6" s="1" t="n">
        <v>0.0316746321806767</v>
      </c>
      <c r="D6" s="1" t="n">
        <v>0.0527687296416939</v>
      </c>
      <c r="E6" s="1" t="n">
        <v>0.0183246073298429</v>
      </c>
      <c r="F6" s="1" t="n">
        <v>0.00327412229950741</v>
      </c>
      <c r="G6" s="1" t="n">
        <v>0.0196956132497763</v>
      </c>
    </row>
    <row r="7" customFormat="false" ht="15" hidden="false" customHeight="false" outlineLevel="0" collapsed="false">
      <c r="A7" s="4" t="n">
        <v>38504</v>
      </c>
      <c r="B7" s="1" t="n">
        <v>0.0023</v>
      </c>
      <c r="C7" s="1" t="n">
        <v>0.00127203425711797</v>
      </c>
      <c r="D7" s="1" t="n">
        <v>0.0416666666666667</v>
      </c>
      <c r="E7" s="1" t="n">
        <v>0.0440838821002219</v>
      </c>
      <c r="F7" s="1" t="n">
        <v>0.00126716800984261</v>
      </c>
      <c r="G7" s="1" t="n">
        <v>0.012291483757682</v>
      </c>
    </row>
    <row r="8" customFormat="false" ht="15" hidden="false" customHeight="false" outlineLevel="0" collapsed="false">
      <c r="A8" s="4" t="n">
        <v>38534</v>
      </c>
      <c r="B8" s="1" t="n">
        <v>0.0024</v>
      </c>
      <c r="C8" s="1" t="n">
        <v>0.0370640196703396</v>
      </c>
      <c r="D8" s="1" t="n">
        <v>0.125346534653465</v>
      </c>
      <c r="E8" s="1" t="n">
        <v>0.0157284768211921</v>
      </c>
      <c r="F8" s="1" t="n">
        <v>-0.00254711950541886</v>
      </c>
      <c r="G8" s="1" t="n">
        <v>-0.018213356461405</v>
      </c>
    </row>
    <row r="9" customFormat="false" ht="15" hidden="false" customHeight="false" outlineLevel="0" collapsed="false">
      <c r="A9" s="4" t="n">
        <v>38565</v>
      </c>
      <c r="B9" s="1" t="n">
        <v>0.003</v>
      </c>
      <c r="C9" s="1" t="n">
        <v>-0.00913242009132409</v>
      </c>
      <c r="D9" s="1" t="n">
        <v>-0.00668660918528941</v>
      </c>
      <c r="E9" s="1" t="n">
        <v>0.00896495517522422</v>
      </c>
      <c r="F9" s="1" t="n">
        <v>0.00653023435643574</v>
      </c>
      <c r="G9" s="1" t="n">
        <v>0.00265017667844525</v>
      </c>
    </row>
    <row r="10" customFormat="false" ht="15" hidden="false" customHeight="false" outlineLevel="0" collapsed="false">
      <c r="A10" s="4" t="n">
        <v>38596</v>
      </c>
      <c r="B10" s="1" t="n">
        <v>0.0029</v>
      </c>
      <c r="C10" s="1" t="n">
        <v>0.00794056699677448</v>
      </c>
      <c r="D10" s="1" t="n">
        <v>0.0014171833480956</v>
      </c>
      <c r="E10" s="1" t="n">
        <v>0.0252328309907155</v>
      </c>
      <c r="F10" s="1" t="n">
        <v>-0.00434949802662732</v>
      </c>
      <c r="G10" s="1" t="n">
        <v>0.0273127753303966</v>
      </c>
    </row>
    <row r="11" customFormat="false" ht="15" hidden="false" customHeight="false" outlineLevel="0" collapsed="false">
      <c r="A11" s="4" t="n">
        <v>38626</v>
      </c>
      <c r="B11" s="1" t="n">
        <v>0.0027</v>
      </c>
      <c r="C11" s="1" t="n">
        <v>-0.0167844522968198</v>
      </c>
      <c r="D11" s="1" t="n">
        <v>-0.0426322306739785</v>
      </c>
      <c r="E11" s="1" t="n">
        <v>-0.0571882446386022</v>
      </c>
      <c r="F11" s="1" t="n">
        <v>-0.00213546414895749</v>
      </c>
      <c r="G11" s="1" t="n">
        <v>0.00943396226415083</v>
      </c>
    </row>
    <row r="12" customFormat="false" ht="15" hidden="false" customHeight="false" outlineLevel="0" collapsed="false">
      <c r="A12" s="4" t="n">
        <v>38657</v>
      </c>
      <c r="B12" s="1" t="n">
        <v>0.0031</v>
      </c>
      <c r="C12" s="1" t="n">
        <v>0.0376460017969451</v>
      </c>
      <c r="D12" s="1" t="n">
        <v>0.0389874353288988</v>
      </c>
      <c r="E12" s="1" t="n">
        <v>0.00252737994945251</v>
      </c>
      <c r="F12" s="1" t="n">
        <v>0.00187304780339326</v>
      </c>
      <c r="G12" s="1" t="n">
        <v>0.00169923534409522</v>
      </c>
    </row>
    <row r="13" customFormat="false" ht="15" hidden="false" customHeight="false" outlineLevel="0" collapsed="false">
      <c r="A13" s="4" t="n">
        <v>38687</v>
      </c>
      <c r="B13" s="1" t="n">
        <v>0.0032</v>
      </c>
      <c r="C13" s="1" t="n">
        <v>0.000219392092964288</v>
      </c>
      <c r="D13" s="1" t="n">
        <v>0.00729148141561442</v>
      </c>
      <c r="E13" s="1" t="n">
        <v>0.0059268593685351</v>
      </c>
      <c r="F13" s="1" t="n">
        <v>0.00478515653883371</v>
      </c>
      <c r="G13" s="1" t="n">
        <v>0.022013251220022</v>
      </c>
    </row>
    <row r="14" customFormat="false" ht="15" hidden="false" customHeight="false" outlineLevel="0" collapsed="false">
      <c r="A14" s="4" t="n">
        <v>38718</v>
      </c>
      <c r="B14" s="1" t="n">
        <v>0.0035</v>
      </c>
      <c r="C14" s="1" t="n">
        <v>0.0264531848242255</v>
      </c>
      <c r="D14" s="1" t="n">
        <v>0.0538488700564972</v>
      </c>
      <c r="E14" s="1" t="n">
        <v>0.026338147833475</v>
      </c>
      <c r="F14" s="1" t="n">
        <v>0.00224763503603609</v>
      </c>
      <c r="G14" s="1" t="n">
        <v>0.0193277310924369</v>
      </c>
    </row>
    <row r="15" customFormat="false" ht="15" hidden="false" customHeight="false" outlineLevel="0" collapsed="false">
      <c r="A15" s="4" t="n">
        <v>38749</v>
      </c>
      <c r="B15" s="1" t="n">
        <v>0.0034</v>
      </c>
      <c r="C15" s="1" t="n">
        <v>0.00262800949474396</v>
      </c>
      <c r="D15" s="1" t="n">
        <v>0.0390350142402414</v>
      </c>
      <c r="E15" s="1" t="n">
        <v>0.0165562913907285</v>
      </c>
      <c r="F15" s="1" t="n">
        <v>0.000980547896793693</v>
      </c>
      <c r="G15" s="1" t="n">
        <v>-0.0140148392415499</v>
      </c>
    </row>
    <row r="16" customFormat="false" ht="15" hidden="false" customHeight="false" outlineLevel="0" collapsed="false">
      <c r="A16" s="4" t="n">
        <v>38777</v>
      </c>
      <c r="B16" s="1" t="n">
        <v>0.0037</v>
      </c>
      <c r="C16" s="1" t="n">
        <v>0.0123064232801731</v>
      </c>
      <c r="D16" s="1" t="n">
        <v>-0.0237020316027089</v>
      </c>
      <c r="E16" s="1" t="n">
        <v>-0.0319277842662439</v>
      </c>
      <c r="F16" s="1" t="n">
        <v>-0.00276539410742982</v>
      </c>
      <c r="G16" s="1" t="n">
        <v>0.0133779264214045</v>
      </c>
    </row>
    <row r="17" customFormat="false" ht="15" hidden="false" customHeight="false" outlineLevel="0" collapsed="false">
      <c r="A17" s="4" t="n">
        <v>38808</v>
      </c>
      <c r="B17" s="1" t="n">
        <v>0.0036</v>
      </c>
      <c r="C17" s="1" t="n">
        <v>0.0133344515263334</v>
      </c>
      <c r="D17" s="1" t="n">
        <v>-0.068373245251858</v>
      </c>
      <c r="E17" s="1" t="n">
        <v>0.0110262934690417</v>
      </c>
      <c r="F17" s="1" t="n">
        <v>0.0044273440757574</v>
      </c>
      <c r="G17" s="1" t="n">
        <v>0.0189768976897691</v>
      </c>
    </row>
    <row r="18" customFormat="false" ht="15" hidden="false" customHeight="false" outlineLevel="0" collapsed="false">
      <c r="A18" s="4" t="n">
        <v>38838</v>
      </c>
      <c r="B18" s="1" t="n">
        <v>0.0043</v>
      </c>
      <c r="C18" s="1" t="n">
        <v>-0.0289663163121742</v>
      </c>
      <c r="D18" s="1" t="n">
        <v>-0.052472965786208</v>
      </c>
      <c r="E18" s="1" t="n">
        <v>0.011744966442953</v>
      </c>
      <c r="F18" s="1" t="n">
        <v>0.000278383551967965</v>
      </c>
      <c r="G18" s="1" t="n">
        <v>-0.00971659919028334</v>
      </c>
    </row>
    <row r="19" customFormat="false" ht="15" hidden="false" customHeight="false" outlineLevel="0" collapsed="false">
      <c r="A19" s="4" t="n">
        <v>38869</v>
      </c>
      <c r="B19" s="1" t="n">
        <v>0.004</v>
      </c>
      <c r="C19" s="1" t="n">
        <v>0.00127853465613392</v>
      </c>
      <c r="D19" s="1" t="n">
        <v>-0.0110383536014967</v>
      </c>
      <c r="E19" s="1" t="n">
        <v>0.0216624016912974</v>
      </c>
      <c r="F19" s="1" t="n">
        <v>-0.00180266012044539</v>
      </c>
      <c r="G19" s="1" t="n">
        <v>0.0147179067865904</v>
      </c>
    </row>
    <row r="20" customFormat="false" ht="15" hidden="false" customHeight="false" outlineLevel="0" collapsed="false">
      <c r="A20" s="4" t="n">
        <v>38899</v>
      </c>
      <c r="B20" s="1" t="n">
        <v>0.004</v>
      </c>
      <c r="C20" s="1" t="n">
        <v>0.00606889477733152</v>
      </c>
      <c r="D20" s="1" t="n">
        <v>-0.024214907302308</v>
      </c>
      <c r="E20" s="1" t="n">
        <v>0.0450081833060556</v>
      </c>
      <c r="F20" s="1" t="n">
        <v>0.00958438738860634</v>
      </c>
      <c r="G20" s="1" t="n">
        <v>0.0120870265914586</v>
      </c>
    </row>
    <row r="21" customFormat="false" ht="15" hidden="false" customHeight="false" outlineLevel="0" collapsed="false">
      <c r="A21" s="4" t="n">
        <v>38930</v>
      </c>
      <c r="B21" s="1" t="n">
        <v>0.0042</v>
      </c>
      <c r="C21" s="1" t="n">
        <v>0.0236193712829227</v>
      </c>
      <c r="D21" s="1" t="n">
        <v>0.0304381543233812</v>
      </c>
      <c r="E21" s="1" t="n">
        <v>0.0258418167580266</v>
      </c>
      <c r="F21" s="1" t="n">
        <v>0.00844799848432754</v>
      </c>
      <c r="G21" s="1" t="n">
        <v>-0.0318471337579618</v>
      </c>
    </row>
    <row r="22" customFormat="false" ht="15" hidden="false" customHeight="false" outlineLevel="0" collapsed="false">
      <c r="A22" s="4" t="n">
        <v>38961</v>
      </c>
      <c r="B22" s="1" t="n">
        <v>0.0041</v>
      </c>
      <c r="C22" s="1" t="n">
        <v>0.0256342760222188</v>
      </c>
      <c r="D22" s="1" t="n">
        <v>0.0107243650047038</v>
      </c>
      <c r="E22" s="1" t="n">
        <v>-0.00837996344810144</v>
      </c>
      <c r="F22" s="1" t="n">
        <v>0.00437871700402415</v>
      </c>
      <c r="G22" s="1" t="n">
        <v>0.00822368421052633</v>
      </c>
    </row>
    <row r="23" customFormat="false" ht="15" hidden="false" customHeight="false" outlineLevel="0" collapsed="false">
      <c r="A23" s="4" t="n">
        <v>38991</v>
      </c>
      <c r="B23" s="1" t="n">
        <v>0.0041</v>
      </c>
      <c r="C23" s="1" t="n">
        <v>0.0325097529258778</v>
      </c>
      <c r="D23" s="1" t="n">
        <v>0.0852568875651527</v>
      </c>
      <c r="E23" s="1" t="n">
        <v>0.051978277734678</v>
      </c>
      <c r="F23" s="1" t="n">
        <v>0.00468937125829161</v>
      </c>
      <c r="G23" s="1" t="n">
        <v>0.0106035889070149</v>
      </c>
    </row>
    <row r="24" customFormat="false" ht="15" hidden="false" customHeight="false" outlineLevel="0" collapsed="false">
      <c r="A24" s="4" t="n">
        <v>39022</v>
      </c>
      <c r="B24" s="1" t="n">
        <v>0.0042</v>
      </c>
      <c r="C24" s="1" t="n">
        <v>0.0188916876574308</v>
      </c>
      <c r="D24" s="1" t="n">
        <v>0.0269296740994853</v>
      </c>
      <c r="E24" s="1" t="n">
        <v>0.0339233038348081</v>
      </c>
      <c r="F24" s="1" t="n">
        <v>0.00656397861646574</v>
      </c>
      <c r="G24" s="1" t="n">
        <v>0.00887812752219519</v>
      </c>
    </row>
    <row r="25" customFormat="false" ht="15" hidden="false" customHeight="false" outlineLevel="0" collapsed="false">
      <c r="A25" s="4" t="n">
        <v>39052</v>
      </c>
      <c r="B25" s="1" t="n">
        <v>0.004</v>
      </c>
      <c r="C25" s="1" t="n">
        <v>0.0139122169543415</v>
      </c>
      <c r="D25" s="1" t="n">
        <v>-0.00634708535159501</v>
      </c>
      <c r="E25" s="1" t="n">
        <v>0.0150392718770311</v>
      </c>
      <c r="F25" s="1" t="n">
        <v>-0.00424680472855776</v>
      </c>
      <c r="G25" s="1" t="n">
        <v>0.014101359801489</v>
      </c>
    </row>
    <row r="26" customFormat="false" ht="15" hidden="false" customHeight="false" outlineLevel="0" collapsed="false">
      <c r="A26" s="4" t="n">
        <v>39083</v>
      </c>
      <c r="B26" s="1" t="n">
        <v>0.0044</v>
      </c>
      <c r="C26" s="1" t="n">
        <v>0.0149322306455317</v>
      </c>
      <c r="D26" s="1" t="n">
        <v>0.0294167086905361</v>
      </c>
      <c r="E26" s="1" t="n">
        <v>-0.00146412884333813</v>
      </c>
      <c r="F26" s="1" t="n">
        <v>-6.10465408679151E-005</v>
      </c>
      <c r="G26" s="1" t="n">
        <v>-0.0041050903119868</v>
      </c>
    </row>
    <row r="27" customFormat="false" ht="15" hidden="false" customHeight="false" outlineLevel="0" collapsed="false">
      <c r="A27" s="4" t="n">
        <v>39114</v>
      </c>
      <c r="B27" s="1" t="n">
        <v>0.0038</v>
      </c>
      <c r="C27" s="1" t="n">
        <v>-0.0196921684019917</v>
      </c>
      <c r="D27" s="1" t="n">
        <v>-0.0305355976485958</v>
      </c>
      <c r="E27" s="1" t="n">
        <v>0.0373900293255132</v>
      </c>
      <c r="F27" s="1" t="n">
        <v>0.0106555564326241</v>
      </c>
      <c r="G27" s="1" t="n">
        <v>-0.0206100577081616</v>
      </c>
    </row>
    <row r="28" customFormat="false" ht="15" hidden="false" customHeight="false" outlineLevel="0" collapsed="false">
      <c r="A28" s="4" t="n">
        <v>39142</v>
      </c>
      <c r="B28" s="1" t="n">
        <v>0.0043</v>
      </c>
      <c r="C28" s="1" t="n">
        <v>0.0111159878594</v>
      </c>
      <c r="D28" s="1" t="n">
        <v>-0.0111167256189995</v>
      </c>
      <c r="E28" s="1" t="n">
        <v>0.0406218479386677</v>
      </c>
      <c r="F28" s="1" t="n">
        <v>0.00485236183601612</v>
      </c>
      <c r="G28" s="1" t="n">
        <v>0.026094276094276</v>
      </c>
    </row>
    <row r="29" customFormat="false" ht="15" hidden="false" customHeight="false" outlineLevel="0" collapsed="false">
      <c r="A29" s="4" t="n">
        <v>39173</v>
      </c>
      <c r="B29" s="1" t="n">
        <v>0.0044</v>
      </c>
      <c r="C29" s="1" t="n">
        <v>0.0441794695406252</v>
      </c>
      <c r="D29" s="1" t="n">
        <v>0.0991313234542668</v>
      </c>
      <c r="E29" s="1" t="n">
        <v>0.0314637482900138</v>
      </c>
      <c r="F29" s="1" t="n">
        <v>0.000624964152764029</v>
      </c>
      <c r="G29" s="1" t="n">
        <v>-0.003281378178835</v>
      </c>
    </row>
    <row r="30" customFormat="false" ht="15" hidden="false" customHeight="false" outlineLevel="0" collapsed="false">
      <c r="A30" s="4" t="n">
        <v>39203</v>
      </c>
      <c r="B30" s="1" t="n">
        <v>0.0041</v>
      </c>
      <c r="C30" s="1" t="n">
        <v>0.0347705146036161</v>
      </c>
      <c r="D30" s="1" t="n">
        <v>0.00201456686812329</v>
      </c>
      <c r="E30" s="1" t="n">
        <v>0.00862068965517238</v>
      </c>
      <c r="F30" s="1" t="n">
        <v>-0.00745216229838719</v>
      </c>
      <c r="G30" s="1" t="n">
        <v>0.0279835390946501</v>
      </c>
    </row>
    <row r="31" customFormat="false" ht="15" hidden="false" customHeight="false" outlineLevel="0" collapsed="false">
      <c r="A31" s="4" t="n">
        <v>39234</v>
      </c>
      <c r="B31" s="1" t="n">
        <v>0.004</v>
      </c>
      <c r="C31" s="1" t="n">
        <v>-0.0167627894177133</v>
      </c>
      <c r="D31" s="1" t="n">
        <v>-0.0555211877513145</v>
      </c>
      <c r="E31" s="1" t="n">
        <v>-0.0475669533131992</v>
      </c>
      <c r="F31" s="1" t="n">
        <v>0.00264380720183488</v>
      </c>
      <c r="G31" s="1" t="n">
        <v>0.0056044835868696</v>
      </c>
    </row>
    <row r="32" customFormat="false" ht="15" hidden="false" customHeight="false" outlineLevel="0" collapsed="false">
      <c r="A32" s="4" t="n">
        <v>39264</v>
      </c>
      <c r="B32" s="1" t="n">
        <v>0.004</v>
      </c>
      <c r="C32" s="1" t="n">
        <v>-0.0308481433318883</v>
      </c>
      <c r="D32" s="1" t="n">
        <v>-0.0298018667103324</v>
      </c>
      <c r="E32" s="1" t="n">
        <v>-0.0361362056984018</v>
      </c>
      <c r="F32" s="1" t="n">
        <v>0.0109420674826528</v>
      </c>
      <c r="G32" s="1" t="n">
        <v>0.0159235668789808</v>
      </c>
    </row>
    <row r="33" customFormat="false" ht="15" hidden="false" customHeight="false" outlineLevel="0" collapsed="false">
      <c r="A33" s="4" t="n">
        <v>39295</v>
      </c>
      <c r="B33" s="1" t="n">
        <v>0.0042</v>
      </c>
      <c r="C33" s="1" t="n">
        <v>0.0149832277301527</v>
      </c>
      <c r="D33" s="1" t="n">
        <v>0.0207594936708859</v>
      </c>
      <c r="E33" s="1" t="n">
        <v>0.0237923576063446</v>
      </c>
      <c r="F33" s="1" t="n">
        <v>0.00790471699493422</v>
      </c>
      <c r="G33" s="1" t="n">
        <v>0.00470219435736685</v>
      </c>
    </row>
    <row r="34" customFormat="false" ht="15" hidden="false" customHeight="false" outlineLevel="0" collapsed="false">
      <c r="A34" s="4" t="n">
        <v>39326</v>
      </c>
      <c r="B34" s="1" t="n">
        <v>0.0032</v>
      </c>
      <c r="C34" s="1" t="n">
        <v>0.0372394945289274</v>
      </c>
      <c r="D34" s="1" t="n">
        <v>0.0477843915343916</v>
      </c>
      <c r="E34" s="1" t="n">
        <v>0.0340074408716451</v>
      </c>
      <c r="F34" s="1" t="n">
        <v>0.0168965394813319</v>
      </c>
      <c r="G34" s="1" t="n">
        <v>-0.014820592823713</v>
      </c>
    </row>
    <row r="35" customFormat="false" ht="15" hidden="false" customHeight="false" outlineLevel="0" collapsed="false">
      <c r="A35" s="4" t="n">
        <v>39356</v>
      </c>
      <c r="B35" s="1" t="n">
        <v>0.0032</v>
      </c>
      <c r="C35" s="1" t="n">
        <v>0.0157883507574141</v>
      </c>
      <c r="D35" s="1" t="n">
        <v>0.0388196307400979</v>
      </c>
      <c r="E35" s="1" t="n">
        <v>0.0624142661179699</v>
      </c>
      <c r="F35" s="1" t="n">
        <v>0.00588145766932269</v>
      </c>
      <c r="G35" s="1" t="n">
        <v>0.0102929532858274</v>
      </c>
    </row>
    <row r="36" customFormat="false" ht="15" hidden="false" customHeight="false" outlineLevel="0" collapsed="false">
      <c r="A36" s="4" t="n">
        <v>39387</v>
      </c>
      <c r="B36" s="1" t="n">
        <v>0.0034</v>
      </c>
      <c r="C36" s="1" t="n">
        <v>-0.0418679549114333</v>
      </c>
      <c r="D36" s="1" t="n">
        <v>-0.0522558104207808</v>
      </c>
      <c r="E36" s="1" t="n">
        <v>0.00064557779212393</v>
      </c>
      <c r="F36" s="1" t="n">
        <v>0.0155025094075545</v>
      </c>
      <c r="G36" s="1" t="n">
        <v>0.0371023464796394</v>
      </c>
    </row>
    <row r="37" customFormat="false" ht="15" hidden="false" customHeight="false" outlineLevel="0" collapsed="false">
      <c r="A37" s="4" t="n">
        <v>39417</v>
      </c>
      <c r="B37" s="1" t="n">
        <v>0.0027</v>
      </c>
      <c r="C37" s="1" t="n">
        <v>-0.00699968487094038</v>
      </c>
      <c r="D37" s="1" t="n">
        <v>-0.0617086071485815</v>
      </c>
      <c r="E37" s="1" t="n">
        <v>0.00483658536585385</v>
      </c>
      <c r="F37" s="1" t="n">
        <v>0.00434590567430071</v>
      </c>
      <c r="G37" s="1" t="n">
        <v>0.0383048084759576</v>
      </c>
    </row>
    <row r="38" customFormat="false" ht="15" hidden="false" customHeight="false" outlineLevel="0" collapsed="false">
      <c r="A38" s="4" t="n">
        <v>39448</v>
      </c>
      <c r="B38" s="1" t="n">
        <v>0.0021</v>
      </c>
      <c r="C38" s="1" t="n">
        <v>-0.0601553829078803</v>
      </c>
      <c r="D38" s="1" t="n">
        <v>-0.029039972668261</v>
      </c>
      <c r="E38" s="1" t="n">
        <v>-0.067842605156038</v>
      </c>
      <c r="F38" s="1" t="n">
        <v>0.0214590302176063</v>
      </c>
      <c r="G38" s="1" t="n">
        <v>-0.0243328100470958</v>
      </c>
    </row>
    <row r="39" customFormat="false" ht="15" hidden="false" customHeight="false" outlineLevel="0" collapsed="false">
      <c r="A39" s="4" t="n">
        <v>39479</v>
      </c>
      <c r="B39" s="1" t="n">
        <v>0.0013</v>
      </c>
      <c r="C39" s="1" t="n">
        <v>-0.0325145646354904</v>
      </c>
      <c r="D39" s="1" t="n">
        <v>-0.0288529204785363</v>
      </c>
      <c r="E39" s="1" t="n">
        <v>-0.0487627365356623</v>
      </c>
      <c r="F39" s="1" t="n">
        <v>0.00502543501749275</v>
      </c>
      <c r="G39" s="1" t="n">
        <v>0.000804505229283992</v>
      </c>
    </row>
    <row r="40" customFormat="false" ht="15" hidden="false" customHeight="false" outlineLevel="0" collapsed="false">
      <c r="A40" s="4" t="n">
        <v>39508</v>
      </c>
      <c r="B40" s="1" t="n">
        <v>0.0017</v>
      </c>
      <c r="C40" s="1" t="n">
        <v>-0.00440497722519906</v>
      </c>
      <c r="D40" s="1" t="n">
        <v>-0.0175724637681161</v>
      </c>
      <c r="E40" s="1" t="n">
        <v>0.0115946260483633</v>
      </c>
      <c r="F40" s="1" t="n">
        <v>-0.013249219528613</v>
      </c>
      <c r="G40" s="1" t="n">
        <v>0.000803858520900258</v>
      </c>
    </row>
    <row r="41" customFormat="false" ht="15" hidden="false" customHeight="false" outlineLevel="0" collapsed="false">
      <c r="A41" s="4" t="n">
        <v>39539</v>
      </c>
      <c r="B41" s="1" t="n">
        <v>0.0018</v>
      </c>
      <c r="C41" s="1" t="n">
        <v>0.0485420944558521</v>
      </c>
      <c r="D41" s="1" t="n">
        <v>0.00885118937857277</v>
      </c>
      <c r="E41" s="1" t="n">
        <v>0.0510670731707317</v>
      </c>
      <c r="F41" s="1" t="n">
        <v>0.00203155818540424</v>
      </c>
      <c r="G41" s="1" t="n">
        <v>-0.00963855421686743</v>
      </c>
    </row>
    <row r="42" customFormat="false" ht="15" hidden="false" customHeight="false" outlineLevel="0" collapsed="false">
      <c r="A42" s="4" t="n">
        <v>39569</v>
      </c>
      <c r="B42" s="1" t="n">
        <v>0.0018</v>
      </c>
      <c r="C42" s="1" t="n">
        <v>0.0129249569168104</v>
      </c>
      <c r="D42" s="1" t="n">
        <v>0.0440504478157557</v>
      </c>
      <c r="E42" s="1" t="n">
        <v>0.0319071791153009</v>
      </c>
      <c r="F42" s="1" t="n">
        <v>0.000128331688054928</v>
      </c>
      <c r="G42" s="1" t="n">
        <v>0.0113544201135443</v>
      </c>
    </row>
    <row r="43" customFormat="false" ht="15" hidden="false" customHeight="false" outlineLevel="0" collapsed="false">
      <c r="A43" s="4" t="n">
        <v>39600</v>
      </c>
      <c r="B43" s="1" t="n">
        <v>0.0017</v>
      </c>
      <c r="C43" s="1" t="n">
        <v>-0.0843817138992673</v>
      </c>
      <c r="D43" s="1" t="n">
        <v>0.00857843137254899</v>
      </c>
      <c r="E43" s="1" t="n">
        <v>-0.0210931209271557</v>
      </c>
      <c r="F43" s="1" t="n">
        <v>-0.00620792079207921</v>
      </c>
      <c r="G43" s="1" t="n">
        <v>0.0112372010971815</v>
      </c>
    </row>
    <row r="44" customFormat="false" ht="15" hidden="false" customHeight="false" outlineLevel="0" collapsed="false">
      <c r="A44" s="4" t="n">
        <v>39630</v>
      </c>
      <c r="B44" s="1" t="n">
        <v>0.0015</v>
      </c>
      <c r="C44" s="1" t="n">
        <v>-0.00831706696087586</v>
      </c>
      <c r="D44" s="1" t="n">
        <v>0.133657351154314</v>
      </c>
      <c r="E44" s="1" t="n">
        <v>-0.041937816341287</v>
      </c>
      <c r="F44" s="1" t="n">
        <v>-0.00402000000000002</v>
      </c>
      <c r="G44" s="1" t="n">
        <v>-0.00718276137270546</v>
      </c>
    </row>
    <row r="45" customFormat="false" ht="15" hidden="false" customHeight="false" outlineLevel="0" collapsed="false">
      <c r="A45" s="4" t="n">
        <v>39661</v>
      </c>
      <c r="B45" s="1" t="n">
        <v>0.0013</v>
      </c>
      <c r="C45" s="1" t="n">
        <v>0.0144629867351307</v>
      </c>
      <c r="D45" s="1" t="n">
        <v>-0.0139335476956055</v>
      </c>
      <c r="E45" s="1" t="n">
        <v>-0.00377358490566038</v>
      </c>
      <c r="F45" s="1" t="n">
        <v>0.00403826787512585</v>
      </c>
      <c r="G45" s="1" t="n">
        <v>-0.00803858520900314</v>
      </c>
    </row>
    <row r="46" customFormat="false" ht="15" hidden="false" customHeight="false" outlineLevel="0" collapsed="false">
      <c r="A46" s="4" t="n">
        <v>39692</v>
      </c>
      <c r="B46" s="1" t="n">
        <v>0.0015</v>
      </c>
      <c r="C46" s="1" t="n">
        <v>-0.0890607109242253</v>
      </c>
      <c r="D46" s="1" t="n">
        <v>-0.0681677018633542</v>
      </c>
      <c r="E46" s="1" t="n">
        <v>-0.0899267579267579</v>
      </c>
      <c r="F46" s="1" t="n">
        <v>-0.0388732394366197</v>
      </c>
      <c r="G46" s="1" t="n">
        <v>-0.0162074554294975</v>
      </c>
    </row>
    <row r="47" customFormat="false" ht="15" hidden="false" customHeight="false" outlineLevel="0" collapsed="false">
      <c r="A47" s="4" t="n">
        <v>39722</v>
      </c>
      <c r="B47" s="1" t="n">
        <v>0.0008</v>
      </c>
      <c r="C47" s="1" t="n">
        <v>-0.167924001117631</v>
      </c>
      <c r="D47" s="1" t="n">
        <v>-0.116980503249458</v>
      </c>
      <c r="E47" s="1" t="n">
        <v>-0.113255033557047</v>
      </c>
      <c r="F47" s="1" t="n">
        <v>-0.002689075630252</v>
      </c>
      <c r="G47" s="1" t="n">
        <v>-0.0247116968698518</v>
      </c>
    </row>
    <row r="48" customFormat="false" ht="15" hidden="false" customHeight="false" outlineLevel="0" collapsed="false">
      <c r="A48" s="4" t="n">
        <v>39753</v>
      </c>
      <c r="B48" s="1" t="n">
        <v>0.0003</v>
      </c>
      <c r="C48" s="1" t="n">
        <v>-0.071748376986792</v>
      </c>
      <c r="D48" s="1" t="n">
        <v>-0.0702019248914889</v>
      </c>
      <c r="E48" s="1" t="n">
        <v>0.0274361400189214</v>
      </c>
      <c r="F48" s="1" t="n">
        <v>-0.0152642706131081</v>
      </c>
      <c r="G48" s="1" t="n">
        <v>-0.0346283783783784</v>
      </c>
    </row>
    <row r="49" customFormat="false" ht="15" hidden="false" customHeight="false" outlineLevel="0" collapsed="false">
      <c r="A49" s="4" t="n">
        <v>39783</v>
      </c>
      <c r="B49" s="1" t="n">
        <v>0</v>
      </c>
      <c r="C49" s="1" t="n">
        <v>0.010671087174476</v>
      </c>
      <c r="D49" s="1" t="n">
        <v>0.0617008321493811</v>
      </c>
      <c r="E49" s="1" t="n">
        <v>-0.0127993003320834</v>
      </c>
      <c r="F49" s="1" t="n">
        <v>0.0329106649444009</v>
      </c>
      <c r="G49" s="1" t="n">
        <v>0.0162214923498865</v>
      </c>
    </row>
    <row r="50" customFormat="false" ht="15" hidden="false" customHeight="false" outlineLevel="0" collapsed="false">
      <c r="A50" s="4" t="n">
        <v>39814</v>
      </c>
      <c r="B50" s="1" t="n">
        <v>0</v>
      </c>
      <c r="C50" s="1" t="n">
        <v>-0.0841256468889158</v>
      </c>
      <c r="D50" s="1" t="n">
        <v>0.016058115083158</v>
      </c>
      <c r="E50" s="1" t="n">
        <v>-0.0104562737642585</v>
      </c>
      <c r="F50" s="1" t="n">
        <v>0.00744161358811035</v>
      </c>
      <c r="G50" s="1" t="n">
        <v>-0.0127620783956245</v>
      </c>
    </row>
    <row r="51" customFormat="false" ht="15" hidden="false" customHeight="false" outlineLevel="0" collapsed="false">
      <c r="A51" s="4" t="n">
        <v>39845</v>
      </c>
      <c r="B51" s="1" t="n">
        <v>0.0001</v>
      </c>
      <c r="C51" s="1" t="n">
        <v>-0.106570302233903</v>
      </c>
      <c r="D51" s="1" t="n">
        <v>-0.0793979303857009</v>
      </c>
      <c r="E51" s="1" t="n">
        <v>-0.11911623439001</v>
      </c>
      <c r="F51" s="1" t="n">
        <v>-0.0181183932346725</v>
      </c>
      <c r="G51" s="1" t="n">
        <v>-0.0240073868882733</v>
      </c>
    </row>
    <row r="52" customFormat="false" ht="15" hidden="false" customHeight="false" outlineLevel="0" collapsed="false">
      <c r="A52" s="4" t="n">
        <v>39873</v>
      </c>
      <c r="B52" s="1" t="n">
        <v>0.0002</v>
      </c>
      <c r="C52" s="1" t="n">
        <v>0.0876004422853538</v>
      </c>
      <c r="D52" s="1" t="n">
        <v>0.059268342530145</v>
      </c>
      <c r="E52" s="1" t="n">
        <v>0.024820290536552</v>
      </c>
      <c r="F52" s="1" t="n">
        <v>0.00775377969762414</v>
      </c>
      <c r="G52" s="1" t="n">
        <v>-0.0300806945294674</v>
      </c>
    </row>
    <row r="53" customFormat="false" ht="15" hidden="false" customHeight="false" outlineLevel="0" collapsed="false">
      <c r="A53" s="4" t="n">
        <v>39904</v>
      </c>
      <c r="B53" s="1" t="n">
        <v>0.0001</v>
      </c>
      <c r="C53" s="1" t="n">
        <v>0.0955882352941175</v>
      </c>
      <c r="D53" s="1" t="n">
        <v>-0.0405170750530581</v>
      </c>
      <c r="E53" s="1" t="n">
        <v>0.0193756727664156</v>
      </c>
      <c r="F53" s="1" t="n">
        <v>0.026838709677419</v>
      </c>
      <c r="G53" s="1" t="n">
        <v>-0.0292968750000001</v>
      </c>
    </row>
    <row r="54" customFormat="false" ht="15" hidden="false" customHeight="false" outlineLevel="0" collapsed="false">
      <c r="A54" s="4" t="n">
        <v>39934</v>
      </c>
      <c r="B54" s="1" t="n">
        <v>0</v>
      </c>
      <c r="C54" s="1" t="n">
        <v>0.0561769823514791</v>
      </c>
      <c r="D54" s="1" t="n">
        <v>0.0291574502312488</v>
      </c>
      <c r="E54" s="1" t="n">
        <v>0.0348468848996832</v>
      </c>
      <c r="F54" s="1" t="n">
        <v>0.0335819327731093</v>
      </c>
      <c r="G54" s="1" t="n">
        <v>-0.0150905432595574</v>
      </c>
    </row>
    <row r="55" customFormat="false" ht="15" hidden="false" customHeight="false" outlineLevel="0" collapsed="false">
      <c r="A55" s="4" t="n">
        <v>39965</v>
      </c>
      <c r="B55" s="1" t="n">
        <v>0.0001</v>
      </c>
      <c r="C55" s="1" t="n">
        <v>0.00219960160119848</v>
      </c>
      <c r="D55" s="1" t="n">
        <v>0.0504103165298944</v>
      </c>
      <c r="E55" s="1" t="n">
        <v>0.0527979428244245</v>
      </c>
      <c r="F55" s="1" t="n">
        <v>0.00822629969418953</v>
      </c>
      <c r="G55" s="1" t="n">
        <v>0.0143003064351379</v>
      </c>
    </row>
    <row r="56" customFormat="false" ht="15" hidden="false" customHeight="false" outlineLevel="0" collapsed="false">
      <c r="A56" s="4" t="n">
        <v>39995</v>
      </c>
      <c r="B56" s="1" t="n">
        <v>0.0001</v>
      </c>
      <c r="C56" s="1" t="n">
        <v>0.0757790368271956</v>
      </c>
      <c r="D56" s="1" t="n">
        <v>0.0807291666666667</v>
      </c>
      <c r="E56" s="1" t="n">
        <v>0.0411361410381979</v>
      </c>
      <c r="F56" s="1" t="n">
        <v>0.0185919574036513</v>
      </c>
      <c r="G56" s="1" t="n">
        <v>-0.013091641490433</v>
      </c>
    </row>
    <row r="57" customFormat="false" ht="15" hidden="false" customHeight="false" outlineLevel="0" collapsed="false">
      <c r="A57" s="4" t="n">
        <v>40026</v>
      </c>
      <c r="B57" s="1" t="n">
        <v>0.0001</v>
      </c>
      <c r="C57" s="1" t="n">
        <v>0.0359885889839806</v>
      </c>
      <c r="D57" s="1" t="n">
        <v>-0.00826161790017221</v>
      </c>
      <c r="E57" s="1" t="n">
        <v>0.0122295390404514</v>
      </c>
      <c r="F57" s="1" t="n">
        <v>0.0159233666333669</v>
      </c>
      <c r="G57" s="1" t="n">
        <v>-0.00102040816326543</v>
      </c>
    </row>
    <row r="58" customFormat="false" ht="15" hidden="false" customHeight="false" outlineLevel="0" collapsed="false">
      <c r="A58" s="4" t="n">
        <v>40057</v>
      </c>
      <c r="B58" s="1" t="n">
        <v>0.0001</v>
      </c>
      <c r="C58" s="1" t="n">
        <v>0.0371678959247073</v>
      </c>
      <c r="D58" s="1" t="n">
        <v>0.0305449496702535</v>
      </c>
      <c r="E58" s="1" t="n">
        <v>0.00806596400811088</v>
      </c>
      <c r="F58" s="1" t="n">
        <v>0.00929956607495086</v>
      </c>
      <c r="G58" s="1" t="n">
        <v>-0.00817160367722147</v>
      </c>
    </row>
    <row r="59" customFormat="false" ht="15" hidden="false" customHeight="false" outlineLevel="0" collapsed="false">
      <c r="A59" s="4" t="n">
        <v>40087</v>
      </c>
      <c r="B59" s="1" t="n">
        <v>0</v>
      </c>
      <c r="C59" s="1" t="n">
        <v>-0.0186762442278092</v>
      </c>
      <c r="D59" s="1" t="n">
        <v>-0.0874031660491749</v>
      </c>
      <c r="E59" s="1" t="n">
        <v>-0.0242085661080075</v>
      </c>
      <c r="F59" s="1" t="n">
        <v>0.00883538687561214</v>
      </c>
      <c r="G59" s="1" t="n">
        <v>-0.00102986611740485</v>
      </c>
    </row>
    <row r="60" customFormat="false" ht="15" hidden="false" customHeight="false" outlineLevel="0" collapsed="false">
      <c r="A60" s="4" t="n">
        <v>40118</v>
      </c>
      <c r="B60" s="1" t="n">
        <v>0</v>
      </c>
      <c r="C60" s="1" t="n">
        <v>0.0598138659416501</v>
      </c>
      <c r="D60" s="1" t="n">
        <v>0.0481638678723011</v>
      </c>
      <c r="E60" s="1" t="n">
        <v>0.0477099236641221</v>
      </c>
      <c r="F60" s="1" t="n">
        <v>0.00659646887159537</v>
      </c>
      <c r="G60" s="1" t="n">
        <v>-0.00206185567010309</v>
      </c>
    </row>
    <row r="61" customFormat="false" ht="15" hidden="false" customHeight="false" outlineLevel="0" collapsed="false">
      <c r="A61" s="4" t="n">
        <v>40148</v>
      </c>
      <c r="B61" s="1" t="n">
        <v>0.0001</v>
      </c>
      <c r="C61" s="1" t="n">
        <v>0.0194549888992579</v>
      </c>
      <c r="D61" s="1" t="n">
        <v>0.0299295774647888</v>
      </c>
      <c r="E61" s="1" t="n">
        <v>0.0563344034189064</v>
      </c>
      <c r="F61" s="1" t="n">
        <v>-0.00161253131810313</v>
      </c>
      <c r="G61" s="1" t="n">
        <v>0.00309917355371914</v>
      </c>
    </row>
    <row r="62" customFormat="false" ht="15" hidden="false" customHeight="false" outlineLevel="0" collapsed="false">
      <c r="A62" s="4" t="n">
        <v>40179</v>
      </c>
      <c r="B62" s="1" t="n">
        <v>0</v>
      </c>
      <c r="C62" s="1" t="n">
        <v>-0.0360377909808124</v>
      </c>
      <c r="D62" s="1" t="n">
        <v>0.0232478632478632</v>
      </c>
      <c r="E62" s="1" t="n">
        <v>-0.0460584588131089</v>
      </c>
      <c r="F62" s="1" t="n">
        <v>0.00991711370262416</v>
      </c>
      <c r="G62" s="1" t="n">
        <v>0.00102986611740463</v>
      </c>
    </row>
    <row r="63" customFormat="false" ht="15" hidden="false" customHeight="false" outlineLevel="0" collapsed="false">
      <c r="A63" s="4" t="n">
        <v>40210</v>
      </c>
      <c r="B63" s="1" t="n">
        <v>0</v>
      </c>
      <c r="C63" s="1" t="n">
        <v>0.0309184601394361</v>
      </c>
      <c r="D63" s="1" t="n">
        <v>0.0165385900434347</v>
      </c>
      <c r="E63" s="1" t="n">
        <v>-0.0102135561745589</v>
      </c>
      <c r="F63" s="1" t="n">
        <v>0.00306235067437388</v>
      </c>
      <c r="G63" s="1" t="n">
        <v>0.0133744855967077</v>
      </c>
    </row>
    <row r="64" customFormat="false" ht="15" hidden="false" customHeight="false" outlineLevel="0" collapsed="false">
      <c r="A64" s="4" t="n">
        <v>40238</v>
      </c>
      <c r="B64" s="1" t="n">
        <v>0.0001</v>
      </c>
      <c r="C64" s="1" t="n">
        <v>0.0601355008366706</v>
      </c>
      <c r="D64" s="1" t="n">
        <v>0.057518488085456</v>
      </c>
      <c r="E64" s="1" t="n">
        <v>0.0325762997374766</v>
      </c>
      <c r="F64" s="1" t="n">
        <v>0.00519586538461536</v>
      </c>
      <c r="G64" s="1" t="n">
        <v>0</v>
      </c>
    </row>
    <row r="65" customFormat="false" ht="15" hidden="false" customHeight="false" outlineLevel="0" collapsed="false">
      <c r="A65" s="4" t="n">
        <v>40269</v>
      </c>
      <c r="B65" s="1" t="n">
        <v>0.0001</v>
      </c>
      <c r="C65" s="1" t="n">
        <v>0.0157801912187878</v>
      </c>
      <c r="D65" s="1" t="n">
        <v>0.0113442113442115</v>
      </c>
      <c r="E65" s="1" t="n">
        <v>0.0137614678899083</v>
      </c>
      <c r="F65" s="1" t="n">
        <v>0.00684190613026803</v>
      </c>
      <c r="G65" s="1" t="n">
        <v>-0.00710659898477162</v>
      </c>
    </row>
    <row r="66" customFormat="false" ht="15" hidden="false" customHeight="false" outlineLevel="0" collapsed="false">
      <c r="A66" s="4" t="n">
        <v>40299</v>
      </c>
      <c r="B66" s="1" t="n">
        <v>0.0001</v>
      </c>
      <c r="C66" s="1" t="n">
        <v>-0.0800511742666545</v>
      </c>
      <c r="D66" s="1" t="n">
        <v>-0.111247695144438</v>
      </c>
      <c r="E66" s="1" t="n">
        <v>-0.0579185520361991</v>
      </c>
      <c r="F66" s="1" t="n">
        <v>-0.00649653333333333</v>
      </c>
      <c r="G66" s="1" t="n">
        <v>0.00817995910020453</v>
      </c>
    </row>
    <row r="67" customFormat="false" ht="15" hidden="false" customHeight="false" outlineLevel="0" collapsed="false">
      <c r="A67" s="4" t="n">
        <v>40330</v>
      </c>
      <c r="B67" s="1" t="n">
        <v>0.0001</v>
      </c>
      <c r="C67" s="1" t="n">
        <v>-0.0523945684403731</v>
      </c>
      <c r="D67" s="1" t="n">
        <v>-0.0437413554633472</v>
      </c>
      <c r="E67" s="1" t="n">
        <v>-0.00127148568759916</v>
      </c>
      <c r="F67" s="1" t="n">
        <v>0.00686473128598863</v>
      </c>
      <c r="G67" s="1" t="n">
        <v>-0.00811359026369174</v>
      </c>
    </row>
    <row r="68" customFormat="false" ht="15" hidden="false" customHeight="false" outlineLevel="0" collapsed="false">
      <c r="A68" s="4" t="n">
        <v>40360</v>
      </c>
      <c r="B68" s="1" t="n">
        <v>0.0001</v>
      </c>
      <c r="C68" s="1" t="n">
        <v>0.0699610156990833</v>
      </c>
      <c r="D68" s="1" t="n">
        <v>0.0650876875790996</v>
      </c>
      <c r="E68" s="1" t="n">
        <v>0.0719144800777454</v>
      </c>
      <c r="F68" s="1" t="n">
        <v>0.00785015267175582</v>
      </c>
      <c r="G68" s="1" t="n">
        <v>0.00306748466257689</v>
      </c>
    </row>
    <row r="69" customFormat="false" ht="15" hidden="false" customHeight="false" outlineLevel="0" collapsed="false">
      <c r="A69" s="4" t="n">
        <v>40391</v>
      </c>
      <c r="B69" s="1" t="n">
        <v>0.0001</v>
      </c>
      <c r="C69" s="1" t="n">
        <v>-0.0452978828163466</v>
      </c>
      <c r="D69" s="1" t="n">
        <v>-0.0222373111526056</v>
      </c>
      <c r="E69" s="1" t="n">
        <v>0.0145058930190389</v>
      </c>
      <c r="F69" s="1" t="n">
        <v>0.00337744075829383</v>
      </c>
      <c r="G69" s="1" t="n">
        <v>-0.0122324159021408</v>
      </c>
    </row>
    <row r="70" customFormat="false" ht="15" hidden="false" customHeight="false" outlineLevel="0" collapsed="false">
      <c r="A70" s="4" t="n">
        <v>40422</v>
      </c>
      <c r="B70" s="1" t="n">
        <v>0.0001</v>
      </c>
      <c r="C70" s="1" t="n">
        <v>0.0891889591585076</v>
      </c>
      <c r="D70" s="1" t="n">
        <v>0.0954861111111112</v>
      </c>
      <c r="E70" s="1" t="n">
        <v>0.0318158550022993</v>
      </c>
      <c r="F70" s="1" t="n">
        <v>0.0072083254493851</v>
      </c>
      <c r="G70" s="1" t="n">
        <v>0.00928792569659431</v>
      </c>
    </row>
    <row r="71" customFormat="false" ht="15" hidden="false" customHeight="false" outlineLevel="0" collapsed="false">
      <c r="A71" s="4" t="n">
        <v>40452</v>
      </c>
      <c r="B71" s="1" t="n">
        <v>0.0001</v>
      </c>
      <c r="C71" s="1" t="n">
        <v>0.0378831144108129</v>
      </c>
      <c r="D71" s="1" t="n">
        <v>0.0245641838351822</v>
      </c>
      <c r="E71" s="1" t="n">
        <v>0.0192307692307694</v>
      </c>
      <c r="F71" s="1" t="n">
        <v>0.00925525870178734</v>
      </c>
      <c r="G71" s="1" t="n">
        <v>0.00204498977505119</v>
      </c>
    </row>
    <row r="72" customFormat="false" ht="15" hidden="false" customHeight="false" outlineLevel="0" collapsed="false">
      <c r="A72" s="4" t="n">
        <v>40483</v>
      </c>
      <c r="B72" s="1" t="n">
        <v>0.0001</v>
      </c>
      <c r="C72" s="1" t="n">
        <v>0</v>
      </c>
      <c r="D72" s="1" t="n">
        <v>-0.00665119876256781</v>
      </c>
      <c r="E72" s="1" t="n">
        <v>-0.0265866209262436</v>
      </c>
      <c r="F72" s="1" t="n">
        <v>-0.00744427637721767</v>
      </c>
      <c r="G72" s="1" t="n">
        <v>0.00612244897959169</v>
      </c>
    </row>
    <row r="73" customFormat="false" ht="15" hidden="false" customHeight="false" outlineLevel="0" collapsed="false">
      <c r="A73" s="4" t="n">
        <v>40513</v>
      </c>
      <c r="B73" s="1" t="n">
        <v>0.0001</v>
      </c>
      <c r="C73" s="1" t="n">
        <v>0.0667133794249737</v>
      </c>
      <c r="D73" s="1" t="n">
        <v>0.0683587667393335</v>
      </c>
      <c r="E73" s="1" t="n">
        <v>0.0320938864544227</v>
      </c>
      <c r="F73" s="1" t="n">
        <v>-0.000810969420699581</v>
      </c>
      <c r="G73" s="1" t="n">
        <v>-0.0253549695740365</v>
      </c>
    </row>
    <row r="74" customFormat="false" ht="15" hidden="false" customHeight="false" outlineLevel="0" collapsed="false">
      <c r="A74" s="4" t="n">
        <v>40544</v>
      </c>
      <c r="B74" s="1" t="n">
        <v>0.0001</v>
      </c>
      <c r="C74" s="1" t="n">
        <v>0.0235710585391125</v>
      </c>
      <c r="D74" s="1" t="n">
        <v>-0.00495554583879909</v>
      </c>
      <c r="E74" s="1" t="n">
        <v>0.0112068965517242</v>
      </c>
      <c r="F74" s="1" t="n">
        <v>0.00388346487006741</v>
      </c>
      <c r="G74" s="1" t="n">
        <v>0.00312174817898026</v>
      </c>
    </row>
    <row r="75" customFormat="false" ht="15" hidden="false" customHeight="false" outlineLevel="0" collapsed="false">
      <c r="A75" s="4" t="n">
        <v>40575</v>
      </c>
      <c r="B75" s="1" t="n">
        <v>0.0001</v>
      </c>
      <c r="C75" s="1" t="n">
        <v>0.0341628005061156</v>
      </c>
      <c r="D75" s="1" t="n">
        <v>-0.00131829500512659</v>
      </c>
      <c r="E75" s="1" t="n">
        <v>0.0187553282182438</v>
      </c>
      <c r="F75" s="1" t="n">
        <v>0.00280169068203651</v>
      </c>
      <c r="G75" s="1" t="n">
        <v>0.0134854771784232</v>
      </c>
    </row>
    <row r="76" customFormat="false" ht="15" hidden="false" customHeight="false" outlineLevel="0" collapsed="false">
      <c r="A76" s="4" t="n">
        <v>40603</v>
      </c>
      <c r="B76" s="1" t="n">
        <v>0.0001</v>
      </c>
      <c r="C76" s="1" t="n">
        <v>0.000256176571768352</v>
      </c>
      <c r="D76" s="1" t="n">
        <v>0.0588149017307127</v>
      </c>
      <c r="E76" s="1" t="n">
        <v>0.00724757411199151</v>
      </c>
      <c r="F76" s="1" t="n">
        <v>0.00362151631477925</v>
      </c>
      <c r="G76" s="1" t="n">
        <v>0.0245649948822928</v>
      </c>
    </row>
    <row r="77" customFormat="false" ht="15" hidden="false" customHeight="false" outlineLevel="0" collapsed="false">
      <c r="A77" s="4" t="n">
        <v>40634</v>
      </c>
      <c r="B77" s="1" t="n">
        <v>0</v>
      </c>
      <c r="C77" s="1" t="n">
        <v>0.029479200786112</v>
      </c>
      <c r="D77" s="1" t="n">
        <v>0.0775730710624742</v>
      </c>
      <c r="E77" s="1" t="n">
        <v>0.0419111483654653</v>
      </c>
      <c r="F77" s="1" t="n">
        <v>0.00908477011494258</v>
      </c>
      <c r="G77" s="1" t="n">
        <v>0.00599400599400601</v>
      </c>
    </row>
    <row r="78" customFormat="false" ht="15" hidden="false" customHeight="false" outlineLevel="0" collapsed="false">
      <c r="A78" s="4" t="n">
        <v>40664</v>
      </c>
      <c r="B78" s="1" t="n">
        <v>0</v>
      </c>
      <c r="C78" s="1" t="n">
        <v>-0.0114540248170537</v>
      </c>
      <c r="D78" s="1" t="n">
        <v>0.0182542743283196</v>
      </c>
      <c r="E78" s="1" t="n">
        <v>0.0193081255028158</v>
      </c>
      <c r="F78" s="1" t="n">
        <v>0.00228099809885918</v>
      </c>
      <c r="G78" s="1" t="n">
        <v>0.000993048659384321</v>
      </c>
    </row>
    <row r="79" customFormat="false" ht="15" hidden="false" customHeight="false" outlineLevel="0" collapsed="false">
      <c r="A79" s="4" t="n">
        <v>40695</v>
      </c>
      <c r="B79" s="1" t="n">
        <v>0</v>
      </c>
      <c r="C79" s="1" t="n">
        <v>-0.0167227925294062</v>
      </c>
      <c r="D79" s="1" t="n">
        <v>-0.0219669233682616</v>
      </c>
      <c r="E79" s="1" t="n">
        <v>-0.00667542500036522</v>
      </c>
      <c r="F79" s="1" t="n">
        <v>-0.00140966761633421</v>
      </c>
      <c r="G79" s="1" t="n">
        <v>0.0238095238095237</v>
      </c>
    </row>
    <row r="80" customFormat="false" ht="15" hidden="false" customHeight="false" outlineLevel="0" collapsed="false">
      <c r="A80" s="4" t="n">
        <v>40725</v>
      </c>
      <c r="B80" s="1" t="n">
        <v>0</v>
      </c>
      <c r="C80" s="1" t="n">
        <v>-0.0204685573366216</v>
      </c>
      <c r="D80" s="1" t="n">
        <v>-0.00826126242416425</v>
      </c>
      <c r="E80" s="1" t="n">
        <v>-0.0144230769230769</v>
      </c>
      <c r="F80" s="1" t="n">
        <v>0.00320918095238088</v>
      </c>
      <c r="G80" s="1" t="n">
        <v>-0.00290697674418616</v>
      </c>
    </row>
    <row r="81" customFormat="false" ht="15" hidden="false" customHeight="false" outlineLevel="0" collapsed="false">
      <c r="A81" s="4" t="n">
        <v>40756</v>
      </c>
      <c r="B81" s="1" t="n">
        <v>0.0001</v>
      </c>
      <c r="C81" s="1" t="n">
        <v>-0.0544645854313528</v>
      </c>
      <c r="D81" s="1" t="n">
        <v>-0.109852922035663</v>
      </c>
      <c r="E81" s="1" t="n">
        <v>0.0203252032520325</v>
      </c>
      <c r="F81" s="1" t="n">
        <v>-0.00521279467680613</v>
      </c>
      <c r="G81" s="1" t="n">
        <v>0.0155490767735667</v>
      </c>
    </row>
    <row r="82" customFormat="false" ht="15" hidden="false" customHeight="false" outlineLevel="0" collapsed="false">
      <c r="A82" s="4" t="n">
        <v>40787</v>
      </c>
      <c r="B82" s="1" t="n">
        <v>0</v>
      </c>
      <c r="C82" s="1" t="n">
        <v>-0.0704258544721055</v>
      </c>
      <c r="D82" s="1" t="n">
        <v>-0.0399181166837258</v>
      </c>
      <c r="E82" s="1" t="n">
        <v>-0.00195821403150542</v>
      </c>
      <c r="F82" s="1" t="n">
        <v>-0.0150406985645933</v>
      </c>
      <c r="G82" s="1" t="n">
        <v>-0.0114832535885167</v>
      </c>
    </row>
    <row r="83" customFormat="false" ht="15" hidden="false" customHeight="false" outlineLevel="0" collapsed="false">
      <c r="A83" s="4" t="n">
        <v>40817</v>
      </c>
      <c r="B83" s="1" t="n">
        <v>0</v>
      </c>
      <c r="C83" s="1" t="n">
        <v>0.109138030332117</v>
      </c>
      <c r="D83" s="1" t="n">
        <v>0.0939689308559244</v>
      </c>
      <c r="E83" s="1" t="n">
        <v>0.0434782608695652</v>
      </c>
      <c r="F83" s="1" t="n">
        <v>0.0101398054474708</v>
      </c>
      <c r="G83" s="1" t="n">
        <v>0.00871248789932233</v>
      </c>
    </row>
    <row r="84" customFormat="false" ht="15" hidden="false" customHeight="false" outlineLevel="0" collapsed="false">
      <c r="A84" s="4" t="n">
        <v>40848</v>
      </c>
      <c r="B84" s="1" t="n">
        <v>0</v>
      </c>
      <c r="C84" s="1" t="n">
        <v>-0.00233665080051926</v>
      </c>
      <c r="D84" s="1" t="n">
        <v>0.022831685925101</v>
      </c>
      <c r="E84" s="1" t="n">
        <v>0.00848765432098753</v>
      </c>
      <c r="F84" s="1" t="n">
        <v>-0.00550675024108005</v>
      </c>
      <c r="G84" s="1" t="n">
        <v>0.000959692898272468</v>
      </c>
    </row>
    <row r="85" customFormat="false" ht="15" hidden="false" customHeight="false" outlineLevel="0" collapsed="false">
      <c r="A85" s="4" t="n">
        <v>40878</v>
      </c>
      <c r="B85" s="1" t="n">
        <v>0</v>
      </c>
      <c r="C85" s="1" t="n">
        <v>0.0101759777864656</v>
      </c>
      <c r="D85" s="1" t="n">
        <v>0.0118563187498821</v>
      </c>
      <c r="E85" s="1" t="n">
        <v>0.0331274383469813</v>
      </c>
      <c r="F85" s="1" t="n">
        <v>0.00588468191552583</v>
      </c>
      <c r="G85" s="1" t="n">
        <v>-0.00671140939597315</v>
      </c>
    </row>
    <row r="86" customFormat="false" ht="15" hidden="false" customHeight="false" outlineLevel="0" collapsed="false">
      <c r="A86" s="4" t="n">
        <v>40909</v>
      </c>
      <c r="B86" s="1" t="n">
        <v>0</v>
      </c>
      <c r="C86" s="1" t="n">
        <v>0.0446459412780655</v>
      </c>
      <c r="D86" s="1" t="n">
        <v>0.124766935985084</v>
      </c>
      <c r="E86" s="1" t="n">
        <v>-0.0231862378459237</v>
      </c>
      <c r="F86" s="1" t="n">
        <v>0.0147508746355685</v>
      </c>
      <c r="G86" s="1" t="n">
        <v>0.00193050193050204</v>
      </c>
    </row>
    <row r="87" customFormat="false" ht="15" hidden="false" customHeight="false" outlineLevel="0" collapsed="false">
      <c r="A87" s="4" t="n">
        <v>40940</v>
      </c>
      <c r="B87" s="1" t="n">
        <v>0</v>
      </c>
      <c r="C87" s="1" t="n">
        <v>0.0430685293874515</v>
      </c>
      <c r="D87" s="1" t="n">
        <v>0.00414421881475335</v>
      </c>
      <c r="E87" s="1" t="n">
        <v>0.00995405819295558</v>
      </c>
      <c r="F87" s="1" t="n">
        <v>0.00179865642994237</v>
      </c>
      <c r="G87" s="1" t="n">
        <v>0.00674373795761074</v>
      </c>
    </row>
    <row r="88" customFormat="false" ht="15" hidden="false" customHeight="false" outlineLevel="0" collapsed="false">
      <c r="A88" s="4" t="n">
        <v>40969</v>
      </c>
      <c r="B88" s="1" t="n">
        <v>0</v>
      </c>
      <c r="C88" s="1" t="n">
        <v>0.0328145498659875</v>
      </c>
      <c r="D88" s="1" t="n">
        <v>0.0403081579309397</v>
      </c>
      <c r="E88" s="1" t="n">
        <v>0.016793718448936</v>
      </c>
      <c r="F88" s="1" t="n">
        <v>0.000216554702495264</v>
      </c>
      <c r="G88" s="1" t="n">
        <v>-0.00287081339712914</v>
      </c>
    </row>
    <row r="89" customFormat="false" ht="15" hidden="false" customHeight="false" outlineLevel="0" collapsed="false">
      <c r="A89" s="4" t="n">
        <v>41000</v>
      </c>
      <c r="B89" s="1" t="n">
        <v>0</v>
      </c>
      <c r="C89" s="1" t="n">
        <v>-0.00639543843427348</v>
      </c>
      <c r="D89" s="1" t="n">
        <v>0.00793440888653785</v>
      </c>
      <c r="E89" s="1" t="n">
        <v>0.0218045112781955</v>
      </c>
      <c r="F89" s="1" t="n">
        <v>0.0088283557692308</v>
      </c>
      <c r="G89" s="1" t="n">
        <v>-0.010556621880998</v>
      </c>
    </row>
    <row r="90" customFormat="false" ht="15" hidden="false" customHeight="false" outlineLevel="0" collapsed="false">
      <c r="A90" s="4" t="n">
        <v>41030</v>
      </c>
      <c r="B90" s="1" t="n">
        <v>0.0001</v>
      </c>
      <c r="C90" s="1" t="n">
        <v>-0.060178363706863</v>
      </c>
      <c r="D90" s="1" t="n">
        <v>-0.00774075045919709</v>
      </c>
      <c r="E90" s="1" t="n">
        <v>0.000735835172921195</v>
      </c>
      <c r="F90" s="1" t="n">
        <v>0.00224512893982798</v>
      </c>
      <c r="G90" s="1" t="n">
        <v>-0.0116391852570321</v>
      </c>
    </row>
    <row r="91" customFormat="false" ht="15" hidden="false" customHeight="false" outlineLevel="0" collapsed="false">
      <c r="A91" s="4" t="n">
        <v>41061</v>
      </c>
      <c r="B91" s="1" t="n">
        <v>0</v>
      </c>
      <c r="C91" s="1" t="n">
        <v>0.041089483646604</v>
      </c>
      <c r="D91" s="1" t="n">
        <v>0.0967869892899644</v>
      </c>
      <c r="E91" s="1" t="n">
        <v>0.0356381694468835</v>
      </c>
      <c r="F91" s="1" t="n">
        <v>0.00282278892072574</v>
      </c>
      <c r="G91" s="1" t="n">
        <v>0.00588812561334651</v>
      </c>
    </row>
    <row r="92" customFormat="false" ht="15" hidden="false" customHeight="false" outlineLevel="0" collapsed="false">
      <c r="A92" s="4" t="n">
        <v>41091</v>
      </c>
      <c r="B92" s="1" t="n">
        <v>0</v>
      </c>
      <c r="C92" s="1" t="n">
        <v>0.013699721226603</v>
      </c>
      <c r="D92" s="1" t="n">
        <v>0.00132610006027734</v>
      </c>
      <c r="E92" s="1" t="n">
        <v>0.0293486041517537</v>
      </c>
      <c r="F92" s="1" t="n">
        <v>0.0110983015267174</v>
      </c>
      <c r="G92" s="1" t="n">
        <v>0.0243902439024391</v>
      </c>
    </row>
    <row r="93" customFormat="false" ht="15" hidden="false" customHeight="false" outlineLevel="0" collapsed="false">
      <c r="A93" s="4" t="n">
        <v>41122</v>
      </c>
      <c r="B93" s="1" t="n">
        <v>0.0001</v>
      </c>
      <c r="C93" s="1" t="n">
        <v>0.0223933370000786</v>
      </c>
      <c r="D93" s="1" t="n">
        <v>0.0176980496026968</v>
      </c>
      <c r="E93" s="1" t="n">
        <v>-0.0312934631432545</v>
      </c>
      <c r="F93" s="1" t="n">
        <v>0.00317965028355371</v>
      </c>
      <c r="G93" s="1" t="n">
        <v>-0.0114285714285713</v>
      </c>
    </row>
    <row r="94" customFormat="false" ht="15" hidden="false" customHeight="false" outlineLevel="0" collapsed="false">
      <c r="A94" s="4" t="n">
        <v>41153</v>
      </c>
      <c r="B94" s="1" t="n">
        <v>0.0001</v>
      </c>
      <c r="C94" s="1" t="n">
        <v>0.0257653129580961</v>
      </c>
      <c r="D94" s="1" t="n">
        <v>0.0357269608423045</v>
      </c>
      <c r="E94" s="1" t="n">
        <v>0.0158842793630565</v>
      </c>
      <c r="F94" s="1" t="n">
        <v>0.006997669811321</v>
      </c>
      <c r="G94" s="1" t="n">
        <v>-0.0134874759152216</v>
      </c>
    </row>
    <row r="95" customFormat="false" ht="15" hidden="false" customHeight="false" outlineLevel="0" collapsed="false">
      <c r="A95" s="4" t="n">
        <v>41183</v>
      </c>
      <c r="B95" s="1" t="n">
        <v>0.0001</v>
      </c>
      <c r="C95" s="1" t="n">
        <v>-0.0185951968681773</v>
      </c>
      <c r="D95" s="1" t="n">
        <v>-0.0598515134209023</v>
      </c>
      <c r="E95" s="1" t="n">
        <v>0.0135327635327636</v>
      </c>
      <c r="F95" s="1" t="n">
        <v>0.000125112570356745</v>
      </c>
      <c r="G95" s="1" t="n">
        <v>-0.00390625000000011</v>
      </c>
    </row>
    <row r="96" customFormat="false" ht="15" hidden="false" customHeight="false" outlineLevel="0" collapsed="false">
      <c r="A96" s="4" t="n">
        <v>41214</v>
      </c>
      <c r="B96" s="1" t="n">
        <v>0.0001</v>
      </c>
      <c r="C96" s="1" t="n">
        <v>0.00559987726296396</v>
      </c>
      <c r="D96" s="1" t="n">
        <v>0.0170088689102175</v>
      </c>
      <c r="E96" s="1" t="n">
        <v>-0.0344342937456079</v>
      </c>
      <c r="F96" s="1" t="n">
        <v>0.00287903195488726</v>
      </c>
      <c r="G96" s="1" t="n">
        <v>0.00588235294117645</v>
      </c>
    </row>
    <row r="97" customFormat="false" ht="15" hidden="false" customHeight="false" outlineLevel="0" collapsed="false">
      <c r="A97" s="4" t="n">
        <v>41244</v>
      </c>
      <c r="B97" s="1" t="n">
        <v>0.0001</v>
      </c>
      <c r="C97" s="1" t="n">
        <v>0.00902281559267482</v>
      </c>
      <c r="D97" s="1" t="n">
        <v>-0.00552089336960715</v>
      </c>
      <c r="E97" s="1" t="n">
        <v>0.0032246259786568</v>
      </c>
      <c r="F97" s="1" t="n">
        <v>0.00177371449957464</v>
      </c>
      <c r="G97" s="1" t="n">
        <v>-0.00535197296330903</v>
      </c>
    </row>
    <row r="98" customFormat="false" ht="15" hidden="false" customHeight="false" outlineLevel="0" collapsed="false">
      <c r="A98" s="4" t="n">
        <v>41275</v>
      </c>
      <c r="B98" s="1" t="n">
        <v>0</v>
      </c>
      <c r="C98" s="1" t="n">
        <v>0.051762198371013</v>
      </c>
      <c r="D98" s="1" t="n">
        <v>0.0874008175042076</v>
      </c>
      <c r="E98" s="1" t="n">
        <v>0.0455212922173276</v>
      </c>
      <c r="F98" s="1" t="n">
        <v>-0.00248184586108446</v>
      </c>
      <c r="G98" s="1" t="n">
        <v>0.0137795275590551</v>
      </c>
    </row>
    <row r="99" customFormat="false" ht="15" hidden="false" customHeight="false" outlineLevel="0" collapsed="false">
      <c r="A99" s="4" t="n">
        <v>41306</v>
      </c>
      <c r="B99" s="1" t="n">
        <v>0</v>
      </c>
      <c r="C99" s="1" t="n">
        <v>0.0133893030324963</v>
      </c>
      <c r="D99" s="1" t="n">
        <v>0.0208955223880598</v>
      </c>
      <c r="E99" s="1" t="n">
        <v>0.0217696629213484</v>
      </c>
      <c r="F99" s="1" t="n">
        <v>0.00421837631327593</v>
      </c>
      <c r="G99" s="1" t="n">
        <v>0.00582524271844642</v>
      </c>
    </row>
    <row r="100" customFormat="false" ht="15" hidden="false" customHeight="false" outlineLevel="0" collapsed="false">
      <c r="A100" s="4" t="n">
        <v>41334</v>
      </c>
      <c r="B100" s="1" t="n">
        <v>0</v>
      </c>
      <c r="C100" s="1" t="n">
        <v>0.0373864804024786</v>
      </c>
      <c r="D100" s="1" t="n">
        <v>0.0752653238033356</v>
      </c>
      <c r="E100" s="1" t="n">
        <v>0.0474397912478075</v>
      </c>
      <c r="F100" s="1" t="n">
        <v>0.00171609523809524</v>
      </c>
      <c r="G100" s="1" t="n">
        <v>0.00994153231748673</v>
      </c>
    </row>
    <row r="101" customFormat="false" ht="15" hidden="false" customHeight="false" outlineLevel="0" collapsed="false">
      <c r="A101" s="4" t="n">
        <v>41365</v>
      </c>
      <c r="B101" s="1" t="n">
        <v>0</v>
      </c>
      <c r="C101" s="1" t="n">
        <v>0.019085817025102</v>
      </c>
      <c r="D101" s="1" t="n">
        <v>0.0670762413133246</v>
      </c>
      <c r="E101" s="1" t="n">
        <v>0.0535714285714286</v>
      </c>
      <c r="F101" s="1" t="n">
        <v>0.00478193333333321</v>
      </c>
      <c r="G101" s="1" t="n">
        <v>0.00382409177820264</v>
      </c>
    </row>
    <row r="102" customFormat="false" ht="15" hidden="false" customHeight="false" outlineLevel="0" collapsed="false">
      <c r="A102" s="4" t="n">
        <v>41395</v>
      </c>
      <c r="B102" s="1" t="n">
        <v>0</v>
      </c>
      <c r="C102" s="1" t="n">
        <v>0.0232747506276718</v>
      </c>
      <c r="D102" s="1" t="n">
        <v>0.0317130722038697</v>
      </c>
      <c r="E102" s="1" t="n">
        <v>-0.0715630885122411</v>
      </c>
      <c r="F102" s="1" t="n">
        <v>-0.0109304558404556</v>
      </c>
      <c r="G102" s="1" t="n">
        <v>0.00952380952380949</v>
      </c>
    </row>
    <row r="103" customFormat="false" ht="15" hidden="false" customHeight="false" outlineLevel="0" collapsed="false">
      <c r="A103" s="4" t="n">
        <v>41426</v>
      </c>
      <c r="B103" s="1" t="n">
        <v>0</v>
      </c>
      <c r="C103" s="1" t="n">
        <v>-0.0135055322901633</v>
      </c>
      <c r="D103" s="1" t="n">
        <v>-0.00997164028908615</v>
      </c>
      <c r="E103" s="1" t="n">
        <v>0.00645497421641483</v>
      </c>
      <c r="F103" s="1" t="n">
        <v>-0.013181625</v>
      </c>
      <c r="G103" s="1" t="n">
        <v>0.00283018867924545</v>
      </c>
    </row>
    <row r="104" customFormat="false" ht="15" hidden="false" customHeight="false" outlineLevel="0" collapsed="false">
      <c r="A104" s="4" t="n">
        <v>41456</v>
      </c>
      <c r="B104" s="1" t="n">
        <v>0</v>
      </c>
      <c r="C104" s="1" t="n">
        <v>0.0507226799945968</v>
      </c>
      <c r="D104" s="1" t="n">
        <v>0.15810386250231</v>
      </c>
      <c r="E104" s="1" t="n">
        <v>0.039268788083954</v>
      </c>
      <c r="F104" s="1" t="n">
        <v>0.00418866341463398</v>
      </c>
      <c r="G104" s="1" t="n">
        <v>0.000940733772342384</v>
      </c>
    </row>
    <row r="105" customFormat="false" ht="15" hidden="false" customHeight="false" outlineLevel="0" collapsed="false">
      <c r="A105" s="4" t="n">
        <v>41487</v>
      </c>
      <c r="B105" s="1" t="n">
        <v>0</v>
      </c>
      <c r="C105" s="1" t="n">
        <v>-0.0291187246898502</v>
      </c>
      <c r="D105" s="1" t="n">
        <v>-0.0172345009175776</v>
      </c>
      <c r="E105" s="1" t="n">
        <v>-0.0508143322475569</v>
      </c>
      <c r="F105" s="1" t="n">
        <v>-0.00482097276264581</v>
      </c>
      <c r="G105" s="1" t="n">
        <v>-0.0131578947368422</v>
      </c>
    </row>
    <row r="106" customFormat="false" ht="15" hidden="false" customHeight="false" outlineLevel="0" collapsed="false">
      <c r="A106" s="4" t="n">
        <v>41518</v>
      </c>
      <c r="B106" s="1" t="n">
        <v>0</v>
      </c>
      <c r="C106" s="1" t="n">
        <v>0.0312163075154652</v>
      </c>
      <c r="D106" s="1" t="n">
        <v>0.0980758301534463</v>
      </c>
      <c r="E106" s="1" t="n">
        <v>0.0115012646927539</v>
      </c>
      <c r="F106" s="1" t="n">
        <v>0.00862356164383571</v>
      </c>
      <c r="G106" s="1" t="n">
        <v>0.00857142857142845</v>
      </c>
    </row>
    <row r="107" customFormat="false" ht="15" hidden="false" customHeight="false" outlineLevel="0" collapsed="false">
      <c r="A107" s="4" t="n">
        <v>41548</v>
      </c>
      <c r="B107" s="1" t="n">
        <v>0</v>
      </c>
      <c r="C107" s="1" t="n">
        <v>0.04586504967101</v>
      </c>
      <c r="D107" s="1" t="n">
        <v>-0.0599630314232902</v>
      </c>
      <c r="E107" s="1" t="n">
        <v>0.0376196990424078</v>
      </c>
      <c r="F107" s="1" t="n">
        <v>0.0048375339805824</v>
      </c>
      <c r="G107" s="1" t="n">
        <v>0.0292728989612843</v>
      </c>
    </row>
    <row r="108" customFormat="false" ht="15" hidden="false" customHeight="false" outlineLevel="0" collapsed="false">
      <c r="A108" s="4" t="n">
        <v>41579</v>
      </c>
      <c r="B108" s="1" t="n">
        <v>0</v>
      </c>
      <c r="C108" s="1" t="n">
        <v>0.0302843397273793</v>
      </c>
      <c r="D108" s="1" t="n">
        <v>0.0674846625766872</v>
      </c>
      <c r="E108" s="1" t="n">
        <v>-0.017139090309822</v>
      </c>
      <c r="F108" s="1" t="n">
        <v>0.00478603481624784</v>
      </c>
      <c r="G108" s="1" t="n">
        <v>0.0110091743119265</v>
      </c>
    </row>
    <row r="109" customFormat="false" ht="15" hidden="false" customHeight="false" outlineLevel="0" collapsed="false">
      <c r="A109" s="4" t="n">
        <v>41609</v>
      </c>
      <c r="B109" s="1" t="n">
        <v>0</v>
      </c>
      <c r="C109" s="1" t="n">
        <v>0.0251377505765782</v>
      </c>
      <c r="D109" s="1" t="n">
        <v>0.0335732430377995</v>
      </c>
      <c r="E109" s="1" t="n">
        <v>0.014347681179099</v>
      </c>
      <c r="F109" s="1" t="n">
        <v>-0.00378458072887622</v>
      </c>
      <c r="G109" s="1" t="n">
        <v>0.000907441016333888</v>
      </c>
    </row>
    <row r="110" customFormat="false" ht="15" hidden="false" customHeight="false" outlineLevel="0" collapsed="false">
      <c r="A110" s="4" t="n">
        <v>41640</v>
      </c>
      <c r="B110" s="1" t="n">
        <v>0</v>
      </c>
      <c r="C110" s="1" t="n">
        <v>-0.0346912420756047</v>
      </c>
      <c r="D110" s="1" t="n">
        <v>0.112408424908425</v>
      </c>
      <c r="E110" s="1" t="n">
        <v>0.0220883534136547</v>
      </c>
      <c r="F110" s="1" t="n">
        <v>0.00229963213939977</v>
      </c>
      <c r="G110" s="1" t="n">
        <v>-0.00181323662737987</v>
      </c>
    </row>
    <row r="111" customFormat="false" ht="15" hidden="false" customHeight="false" outlineLevel="0" collapsed="false">
      <c r="A111" s="4" t="n">
        <v>41671</v>
      </c>
      <c r="B111" s="1" t="n">
        <v>0</v>
      </c>
      <c r="C111" s="1" t="n">
        <v>0.0456065673456978</v>
      </c>
      <c r="D111" s="1" t="n">
        <v>0.0731289016944501</v>
      </c>
      <c r="E111" s="1" t="n">
        <v>0.0360183366077276</v>
      </c>
      <c r="F111" s="1" t="n">
        <v>0.0055208212560387</v>
      </c>
      <c r="G111" s="1" t="n">
        <v>0.0108991825613081</v>
      </c>
    </row>
    <row r="112" customFormat="false" ht="15" hidden="false" customHeight="false" outlineLevel="0" collapsed="false">
      <c r="A112" s="4" t="n">
        <v>41699</v>
      </c>
      <c r="B112" s="1" t="n">
        <v>0</v>
      </c>
      <c r="C112" s="1" t="n">
        <v>0.00823795990288501</v>
      </c>
      <c r="D112" s="1" t="n">
        <v>-0.106053825992457</v>
      </c>
      <c r="E112" s="1" t="n">
        <v>0.0258574532253924</v>
      </c>
      <c r="F112" s="1" t="n">
        <v>-0.00458665384615387</v>
      </c>
      <c r="G112" s="1" t="n">
        <v>0.0188679245283019</v>
      </c>
    </row>
    <row r="113" customFormat="false" ht="15" hidden="false" customHeight="false" outlineLevel="0" collapsed="false">
      <c r="A113" s="4" t="n">
        <v>41730</v>
      </c>
      <c r="B113" s="1" t="n">
        <v>0</v>
      </c>
      <c r="C113" s="1" t="n">
        <v>0.00724091988646247</v>
      </c>
      <c r="D113" s="1" t="n">
        <v>-0.0756578947368422</v>
      </c>
      <c r="E113" s="1" t="n">
        <v>0.0360024829298573</v>
      </c>
      <c r="F113" s="1" t="n">
        <v>0.00312050290135368</v>
      </c>
      <c r="G113" s="1" t="n">
        <v>0.00617283950617287</v>
      </c>
    </row>
    <row r="114" customFormat="false" ht="15" hidden="false" customHeight="false" outlineLevel="0" collapsed="false">
      <c r="A114" s="4" t="n">
        <v>41760</v>
      </c>
      <c r="B114" s="1" t="n">
        <v>0</v>
      </c>
      <c r="C114" s="1" t="n">
        <v>0.0233494363929148</v>
      </c>
      <c r="D114" s="1" t="n">
        <v>0.0285471143431844</v>
      </c>
      <c r="E114" s="1" t="n">
        <v>0.000599161174355878</v>
      </c>
      <c r="F114" s="1" t="n">
        <v>0.00419314671814663</v>
      </c>
      <c r="G114" s="1" t="n">
        <v>0.00964066608238379</v>
      </c>
    </row>
    <row r="115" customFormat="false" ht="15" hidden="false" customHeight="false" outlineLevel="0" collapsed="false">
      <c r="A115" s="4" t="n">
        <v>41791</v>
      </c>
      <c r="B115" s="1" t="n">
        <v>0</v>
      </c>
      <c r="C115" s="1" t="n">
        <v>0.0205195136102581</v>
      </c>
      <c r="D115" s="1" t="n">
        <v>0.082737871380218</v>
      </c>
      <c r="E115" s="1" t="n">
        <v>0.0497415656932065</v>
      </c>
      <c r="F115" s="1" t="n">
        <v>8.54667949952148E-005</v>
      </c>
      <c r="G115" s="1" t="n">
        <v>-0.015625</v>
      </c>
    </row>
    <row r="116" customFormat="false" ht="15" hidden="false" customHeight="false" outlineLevel="0" collapsed="false">
      <c r="A116" s="4" t="n">
        <v>41821</v>
      </c>
      <c r="B116" s="1" t="n">
        <v>0</v>
      </c>
      <c r="C116" s="1" t="n">
        <v>-0.0138804401924461</v>
      </c>
      <c r="D116" s="1" t="n">
        <v>-0.00972559916637705</v>
      </c>
      <c r="E116" s="1" t="n">
        <v>-0.0557151062607696</v>
      </c>
      <c r="F116" s="1" t="n">
        <v>-0.00459341040462435</v>
      </c>
      <c r="G116" s="1" t="n">
        <v>0.00881834215167543</v>
      </c>
    </row>
    <row r="117" customFormat="false" ht="15" hidden="false" customHeight="false" outlineLevel="0" collapsed="false">
      <c r="A117" s="4" t="n">
        <v>41852</v>
      </c>
      <c r="B117" s="1" t="n">
        <v>0</v>
      </c>
      <c r="C117" s="1" t="n">
        <v>0.0398721399730821</v>
      </c>
      <c r="D117" s="1" t="n">
        <v>0.127043142756927</v>
      </c>
      <c r="E117" s="1" t="n">
        <v>0.0468369829683697</v>
      </c>
      <c r="F117" s="1" t="n">
        <v>0.00398553294573634</v>
      </c>
      <c r="G117" s="1" t="n">
        <v>0</v>
      </c>
    </row>
    <row r="118" customFormat="false" ht="15" hidden="false" customHeight="false" outlineLevel="0" collapsed="false">
      <c r="A118" s="4" t="n">
        <v>41883</v>
      </c>
      <c r="B118" s="1" t="n">
        <v>0</v>
      </c>
      <c r="C118" s="1" t="n">
        <v>-0.0141796015655977</v>
      </c>
      <c r="D118" s="1" t="n">
        <v>-0.0194821361882236</v>
      </c>
      <c r="E118" s="1" t="n">
        <v>-0.0300780301704791</v>
      </c>
      <c r="F118" s="1" t="n">
        <v>-0.00397203864734275</v>
      </c>
      <c r="G118" s="1" t="n">
        <v>0.000874125874125831</v>
      </c>
    </row>
    <row r="119" customFormat="false" ht="15" hidden="false" customHeight="false" outlineLevel="0" collapsed="false">
      <c r="A119" s="4" t="n">
        <v>41913</v>
      </c>
      <c r="B119" s="1" t="n">
        <v>0</v>
      </c>
      <c r="C119" s="1" t="n">
        <v>0.0242321006648716</v>
      </c>
      <c r="D119" s="1" t="n">
        <v>0.0824604837173872</v>
      </c>
      <c r="E119" s="1" t="n">
        <v>0.0717732207478892</v>
      </c>
      <c r="F119" s="1" t="n">
        <v>0.00377226213592241</v>
      </c>
      <c r="G119" s="1" t="n">
        <v>-0.00174672489082961</v>
      </c>
    </row>
    <row r="120" customFormat="false" ht="15" hidden="false" customHeight="false" outlineLevel="0" collapsed="false">
      <c r="A120" s="4" t="n">
        <v>41944</v>
      </c>
      <c r="B120" s="1" t="n">
        <v>0</v>
      </c>
      <c r="C120" s="1" t="n">
        <v>0.0268240343347639</v>
      </c>
      <c r="D120" s="1" t="n">
        <v>0.0126084916725309</v>
      </c>
      <c r="E120" s="1" t="n">
        <v>0.003939223410242</v>
      </c>
      <c r="F120" s="1" t="n">
        <v>0.00138326234269126</v>
      </c>
      <c r="G120" s="1" t="n">
        <v>0.00874890638670167</v>
      </c>
    </row>
    <row r="121" customFormat="false" ht="15" hidden="false" customHeight="false" outlineLevel="0" collapsed="false">
      <c r="A121" s="4" t="n">
        <v>41974</v>
      </c>
      <c r="B121" s="1" t="n">
        <v>0</v>
      </c>
      <c r="C121" s="1" t="n">
        <v>-0.00264339739843289</v>
      </c>
      <c r="D121" s="1" t="n">
        <v>0.0162729291913453</v>
      </c>
      <c r="E121" s="1" t="n">
        <v>0.0265148810373881</v>
      </c>
      <c r="F121" s="1" t="n">
        <v>-0.00677443882209794</v>
      </c>
      <c r="G121" s="1" t="n">
        <v>-0.00260190806591498</v>
      </c>
    </row>
    <row r="122" customFormat="false" ht="15" hidden="false" customHeight="false" outlineLevel="0" collapsed="false">
      <c r="A122" s="4" t="n">
        <v>42005</v>
      </c>
      <c r="B122" s="1" t="n">
        <v>0</v>
      </c>
      <c r="C122" s="1" t="n">
        <v>-0.0301753646848175</v>
      </c>
      <c r="D122" s="1" t="n">
        <v>0.0550513139941864</v>
      </c>
      <c r="E122" s="1" t="n">
        <v>0.0185915492957745</v>
      </c>
      <c r="F122" s="1" t="n">
        <v>0.00285390438247024</v>
      </c>
      <c r="G122" s="1" t="n">
        <v>0.011304347826087</v>
      </c>
    </row>
    <row r="123" customFormat="false" ht="15" hidden="false" customHeight="false" outlineLevel="0" collapsed="false">
      <c r="A123" s="4" t="n">
        <v>42036</v>
      </c>
      <c r="B123" s="1" t="n">
        <v>0</v>
      </c>
      <c r="C123" s="1" t="n">
        <v>0.0573957428323197</v>
      </c>
      <c r="D123" s="1" t="n">
        <v>0.0552150688782682</v>
      </c>
      <c r="E123" s="1" t="n">
        <v>-0.0464601769911505</v>
      </c>
      <c r="F123" s="1" t="n">
        <v>0.00487188866799193</v>
      </c>
      <c r="G123" s="1" t="n">
        <v>-0.0206362854686156</v>
      </c>
    </row>
    <row r="124" customFormat="false" ht="15" hidden="false" customHeight="false" outlineLevel="0" collapsed="false">
      <c r="A124" s="4" t="n">
        <v>42064</v>
      </c>
      <c r="B124" s="1" t="n">
        <v>0</v>
      </c>
      <c r="C124" s="1" t="n">
        <v>-0.0159366891700888</v>
      </c>
      <c r="D124" s="1" t="n">
        <v>0.0276016411786648</v>
      </c>
      <c r="E124" s="1" t="n">
        <v>-0.0101112243282133</v>
      </c>
      <c r="F124" s="1" t="n">
        <v>-7.70495049505771E-005</v>
      </c>
      <c r="G124" s="1" t="n">
        <v>0.0114135206321333</v>
      </c>
    </row>
    <row r="125" customFormat="false" ht="15" hidden="false" customHeight="false" outlineLevel="0" collapsed="false">
      <c r="A125" s="4" t="n">
        <v>42095</v>
      </c>
      <c r="B125" s="1" t="n">
        <v>0</v>
      </c>
      <c r="C125" s="1" t="n">
        <v>0.00949084998164751</v>
      </c>
      <c r="D125" s="1" t="n">
        <v>-0.054705729841846</v>
      </c>
      <c r="E125" s="1" t="n">
        <v>0.00117994100294983</v>
      </c>
      <c r="F125" s="1" t="n">
        <v>-0.000636679881070412</v>
      </c>
      <c r="G125" s="1" t="n">
        <v>-0.0121527777777777</v>
      </c>
    </row>
    <row r="126" customFormat="false" ht="15" hidden="false" customHeight="false" outlineLevel="0" collapsed="false">
      <c r="A126" s="4" t="n">
        <v>42125</v>
      </c>
      <c r="B126" s="1" t="n">
        <v>0</v>
      </c>
      <c r="C126" s="1" t="n">
        <v>0.0127259505505921</v>
      </c>
      <c r="D126" s="1" t="n">
        <v>0.100109709270433</v>
      </c>
      <c r="E126" s="1" t="n">
        <v>-0.00117855038302883</v>
      </c>
      <c r="F126" s="1" t="n">
        <v>0.0005550795228626</v>
      </c>
      <c r="G126" s="1" t="n">
        <v>0.00790861159929701</v>
      </c>
    </row>
    <row r="127" customFormat="false" ht="15" hidden="false" customHeight="false" outlineLevel="0" collapsed="false">
      <c r="A127" s="4" t="n">
        <v>42156</v>
      </c>
      <c r="B127" s="1" t="n">
        <v>0</v>
      </c>
      <c r="C127" s="1" t="n">
        <v>-0.0193291696824253</v>
      </c>
      <c r="D127" s="1" t="n">
        <v>0.00553477935676883</v>
      </c>
      <c r="E127" s="1" t="n">
        <v>-0.0596951643802242</v>
      </c>
      <c r="F127" s="1" t="n">
        <v>-0.00115523904382464</v>
      </c>
      <c r="G127" s="1" t="n">
        <v>-0.00871839581517009</v>
      </c>
    </row>
    <row r="128" customFormat="false" ht="15" hidden="false" customHeight="false" outlineLevel="0" collapsed="false">
      <c r="A128" s="4" t="n">
        <v>42186</v>
      </c>
      <c r="B128" s="1" t="n">
        <v>0</v>
      </c>
      <c r="C128" s="1" t="n">
        <v>0.0208026896406808</v>
      </c>
      <c r="D128" s="1" t="n">
        <v>0.0206287811167312</v>
      </c>
      <c r="E128" s="1" t="n">
        <v>0.0467466835123185</v>
      </c>
      <c r="F128" s="1" t="n">
        <v>0.00143084915084923</v>
      </c>
      <c r="G128" s="1" t="n">
        <v>0.0255057167985928</v>
      </c>
    </row>
    <row r="129" customFormat="false" ht="15" hidden="false" customHeight="false" outlineLevel="0" collapsed="false">
      <c r="A129" s="4" t="n">
        <v>42217</v>
      </c>
      <c r="B129" s="1" t="n">
        <v>0</v>
      </c>
      <c r="C129" s="1" t="n">
        <v>-0.0604158089748867</v>
      </c>
      <c r="D129" s="1" t="n">
        <v>-0.101982314643863</v>
      </c>
      <c r="E129" s="1" t="n">
        <v>-0.0422450211225106</v>
      </c>
      <c r="F129" s="1" t="n">
        <v>-0.00462703999999992</v>
      </c>
      <c r="G129" s="1" t="n">
        <v>-0.00600343053173247</v>
      </c>
    </row>
    <row r="130" customFormat="false" ht="15" hidden="false" customHeight="false" outlineLevel="0" collapsed="false">
      <c r="A130" s="4" t="n">
        <v>42248</v>
      </c>
      <c r="B130" s="1" t="n">
        <v>0</v>
      </c>
      <c r="C130" s="1" t="n">
        <v>-0.0249003440274845</v>
      </c>
      <c r="D130" s="1" t="n">
        <v>-0.1245468809176</v>
      </c>
      <c r="E130" s="1" t="n">
        <v>0.0208383718232834</v>
      </c>
      <c r="F130" s="1" t="n">
        <v>-0.00426277945619336</v>
      </c>
      <c r="G130" s="1" t="n">
        <v>0.0500431406384814</v>
      </c>
    </row>
    <row r="131" customFormat="false" ht="15" hidden="false" customHeight="false" outlineLevel="0" collapsed="false">
      <c r="A131" s="4" t="n">
        <v>42278</v>
      </c>
      <c r="B131" s="1" t="n">
        <v>0</v>
      </c>
      <c r="C131" s="1" t="n">
        <v>0.0842271649542736</v>
      </c>
      <c r="D131" s="1" t="n">
        <v>0.0595760459798529</v>
      </c>
      <c r="E131" s="1" t="n">
        <v>0.0180348258706469</v>
      </c>
      <c r="F131" s="1" t="n">
        <v>0.00550862208713299</v>
      </c>
      <c r="G131" s="1" t="n">
        <v>-0.00493015612161052</v>
      </c>
    </row>
    <row r="132" customFormat="false" ht="15" hidden="false" customHeight="false" outlineLevel="0" collapsed="false">
      <c r="A132" s="4" t="n">
        <v>42309</v>
      </c>
      <c r="B132" s="1" t="n">
        <v>0</v>
      </c>
      <c r="C132" s="1" t="n">
        <v>0.00286368843069873</v>
      </c>
      <c r="D132" s="1" t="n">
        <v>0.0428696412948384</v>
      </c>
      <c r="E132" s="1" t="n">
        <v>-0.0238240684178376</v>
      </c>
      <c r="F132" s="1" t="n">
        <v>-0.000825388496468182</v>
      </c>
      <c r="G132" s="1" t="n">
        <v>-0.00660611065235339</v>
      </c>
    </row>
    <row r="133" customFormat="false" ht="15" hidden="false" customHeight="false" outlineLevel="0" collapsed="false">
      <c r="A133" s="4" t="n">
        <v>42339</v>
      </c>
      <c r="B133" s="1" t="n">
        <v>0.0001</v>
      </c>
      <c r="C133" s="1" t="n">
        <v>-0.0159258615808687</v>
      </c>
      <c r="D133" s="1" t="n">
        <v>-0.00539453734737594</v>
      </c>
      <c r="E133" s="1" t="n">
        <v>0.00726533166458077</v>
      </c>
      <c r="F133" s="1" t="n">
        <v>-0.000372872607096175</v>
      </c>
      <c r="G133" s="1" t="n">
        <v>0.00847921518517758</v>
      </c>
    </row>
    <row r="134" customFormat="false" ht="15" hidden="false" customHeight="false" outlineLevel="0" collapsed="false">
      <c r="A134" s="4" t="n">
        <v>42370</v>
      </c>
      <c r="B134" s="1" t="n">
        <v>0.0001</v>
      </c>
      <c r="C134" s="1" t="n">
        <v>-0.0497665534804753</v>
      </c>
      <c r="D134" s="1" t="n">
        <v>-0.229179405649994</v>
      </c>
      <c r="E134" s="1" t="n">
        <v>0.0402075226977949</v>
      </c>
      <c r="F134" s="1" t="n">
        <v>0.000812606490872225</v>
      </c>
      <c r="G134" s="1" t="n">
        <v>0.0123660346248968</v>
      </c>
    </row>
    <row r="135" customFormat="false" ht="15" hidden="false" customHeight="false" outlineLevel="0" collapsed="false">
      <c r="A135" s="4" t="n">
        <v>42401</v>
      </c>
      <c r="B135" s="1" t="n">
        <v>0.0002</v>
      </c>
      <c r="C135" s="1" t="n">
        <v>-0.00145170295924058</v>
      </c>
      <c r="D135" s="1" t="n">
        <v>-0.0636998254799303</v>
      </c>
      <c r="E135" s="1" t="n">
        <v>0.0218204488778055</v>
      </c>
      <c r="F135" s="1" t="n">
        <v>-0.00550287018255569</v>
      </c>
      <c r="G135" s="1" t="n">
        <v>0.0154723127035832</v>
      </c>
    </row>
    <row r="136" customFormat="false" ht="15" hidden="false" customHeight="false" outlineLevel="0" collapsed="false">
      <c r="A136" s="4" t="n">
        <v>42430</v>
      </c>
      <c r="B136" s="1" t="n">
        <v>0.0002</v>
      </c>
      <c r="C136" s="1" t="n">
        <v>0.0677543758121744</v>
      </c>
      <c r="D136" s="1" t="n">
        <v>0.0460052529018045</v>
      </c>
      <c r="E136" s="1" t="n">
        <v>0.0795955775867063</v>
      </c>
      <c r="F136" s="1" t="n">
        <v>0.00883254081632634</v>
      </c>
      <c r="G136" s="1" t="n">
        <v>-0.00481154771451486</v>
      </c>
    </row>
    <row r="137" customFormat="false" ht="15" hidden="false" customHeight="false" outlineLevel="0" collapsed="false">
      <c r="A137" s="4" t="n">
        <v>42461</v>
      </c>
      <c r="B137" s="1" t="n">
        <v>0.0001</v>
      </c>
      <c r="C137" s="1" t="n">
        <v>0.00373703879151521</v>
      </c>
      <c r="D137" s="1" t="n">
        <v>0.0381500080997894</v>
      </c>
      <c r="E137" s="1" t="n">
        <v>-0.0165054069436539</v>
      </c>
      <c r="F137" s="1" t="n">
        <v>0.0034088145896658</v>
      </c>
      <c r="G137" s="1" t="n">
        <v>-0.0177276390008059</v>
      </c>
    </row>
    <row r="138" customFormat="false" ht="15" hidden="false" customHeight="false" outlineLevel="0" collapsed="false">
      <c r="A138" s="4" t="n">
        <v>42491</v>
      </c>
      <c r="B138" s="1" t="n">
        <v>0.0001</v>
      </c>
      <c r="C138" s="1" t="n">
        <v>0.0178290508652335</v>
      </c>
      <c r="D138" s="1" t="n">
        <v>0.0598423968167279</v>
      </c>
      <c r="E138" s="1" t="n">
        <v>0.0202546296296295</v>
      </c>
      <c r="F138" s="1" t="n">
        <v>0.000867573306370106</v>
      </c>
      <c r="G138" s="1" t="n">
        <v>-0.018047579983593</v>
      </c>
    </row>
    <row r="139" customFormat="false" ht="15" hidden="false" customHeight="false" outlineLevel="0" collapsed="false">
      <c r="A139" s="4" t="n">
        <v>42522</v>
      </c>
      <c r="B139" s="1" t="n">
        <v>0.0002</v>
      </c>
      <c r="C139" s="1" t="n">
        <v>0.00249965338398694</v>
      </c>
      <c r="D139" s="1" t="n">
        <v>-0.0743521790341579</v>
      </c>
      <c r="E139" s="1" t="n">
        <v>0.0727728418632414</v>
      </c>
      <c r="F139" s="1" t="n">
        <v>0.00198109311740891</v>
      </c>
      <c r="G139" s="1" t="n">
        <v>-0.0125313283208021</v>
      </c>
    </row>
    <row r="140" customFormat="false" ht="15" hidden="false" customHeight="false" outlineLevel="0" collapsed="false">
      <c r="A140" s="4" t="n">
        <v>42552</v>
      </c>
      <c r="B140" s="1" t="n">
        <v>0.0002</v>
      </c>
      <c r="C140" s="1" t="n">
        <v>0.0367635668921362</v>
      </c>
      <c r="D140" s="1" t="n">
        <v>0.100922538571656</v>
      </c>
      <c r="E140" s="1" t="n">
        <v>-0.00691857370941984</v>
      </c>
      <c r="F140" s="1" t="n">
        <v>0.000810769230769282</v>
      </c>
      <c r="G140" s="1" t="n">
        <v>0.00676818950930636</v>
      </c>
    </row>
    <row r="141" customFormat="false" ht="15" hidden="false" customHeight="false" outlineLevel="0" collapsed="false">
      <c r="A141" s="4" t="n">
        <v>42583</v>
      </c>
      <c r="B141" s="1" t="n">
        <v>0.0002</v>
      </c>
      <c r="C141" s="1" t="n">
        <v>0.00129488520344645</v>
      </c>
      <c r="D141" s="1" t="n">
        <v>-0.0148811673770136</v>
      </c>
      <c r="E141" s="1" t="n">
        <v>-0.0493033226152199</v>
      </c>
      <c r="F141" s="1" t="n">
        <v>0.00156902735562303</v>
      </c>
      <c r="G141" s="1" t="n">
        <v>-0.0201680672268908</v>
      </c>
    </row>
    <row r="142" customFormat="false" ht="15" hidden="false" customHeight="false" outlineLevel="0" collapsed="false">
      <c r="A142" s="4" t="n">
        <v>42614</v>
      </c>
      <c r="B142" s="1" t="n">
        <v>0.0002</v>
      </c>
      <c r="C142" s="1" t="n">
        <v>8.18147862746699E-005</v>
      </c>
      <c r="D142" s="1" t="n">
        <v>0.0560973821221678</v>
      </c>
      <c r="E142" s="1" t="n">
        <v>0.0127865089809871</v>
      </c>
      <c r="F142" s="1" t="n">
        <v>0.00334466058763949</v>
      </c>
      <c r="G142" s="1" t="n">
        <v>0.00514579759862777</v>
      </c>
    </row>
    <row r="143" customFormat="false" ht="15" hidden="false" customHeight="false" outlineLevel="0" collapsed="false">
      <c r="A143" s="4" t="n">
        <v>42644</v>
      </c>
      <c r="B143" s="1" t="n">
        <v>0.0002</v>
      </c>
      <c r="C143" s="1" t="n">
        <v>-0.0183307527096549</v>
      </c>
      <c r="D143" s="1" t="n">
        <v>-0.106929593112068</v>
      </c>
      <c r="E143" s="1" t="n">
        <v>0.00168067226890734</v>
      </c>
      <c r="F143" s="1" t="n">
        <v>0.000340777777777745</v>
      </c>
      <c r="G143" s="1" t="n">
        <v>0.006825938566553</v>
      </c>
    </row>
    <row r="144" customFormat="false" ht="15" hidden="false" customHeight="false" outlineLevel="0" collapsed="false">
      <c r="A144" s="4" t="n">
        <v>42675</v>
      </c>
      <c r="B144" s="1" t="n">
        <v>0.0001</v>
      </c>
      <c r="C144" s="1" t="n">
        <v>0.0369899257148674</v>
      </c>
      <c r="D144" s="1" t="n">
        <v>0.0898771575182709</v>
      </c>
      <c r="E144" s="1" t="n">
        <v>-0.0436241610738254</v>
      </c>
      <c r="F144" s="1" t="n">
        <v>-0.00535777553083927</v>
      </c>
      <c r="G144" s="1" t="n">
        <v>0.0406779661016947</v>
      </c>
    </row>
    <row r="145" customFormat="false" ht="15" hidden="false" customHeight="false" outlineLevel="0" collapsed="false">
      <c r="A145" s="4" t="n">
        <v>42705</v>
      </c>
      <c r="B145" s="1" t="n">
        <v>0.0003</v>
      </c>
      <c r="C145" s="1" t="n">
        <v>0.0196261876640143</v>
      </c>
      <c r="D145" s="1" t="n">
        <v>-0.0335179671679425</v>
      </c>
      <c r="E145" s="1" t="n">
        <v>0.0408705135831844</v>
      </c>
      <c r="F145" s="1" t="n">
        <v>0.00449235234215872</v>
      </c>
      <c r="G145" s="1" t="n">
        <v>0.0127819297047391</v>
      </c>
    </row>
    <row r="146" customFormat="false" ht="15" hidden="false" customHeight="false" outlineLevel="0" collapsed="false">
      <c r="A146" s="4" t="n">
        <v>42736</v>
      </c>
      <c r="B146" s="1" t="n">
        <v>0.0004</v>
      </c>
      <c r="C146" s="1" t="n">
        <v>0.0188313888754419</v>
      </c>
      <c r="D146" s="1" t="n">
        <v>0.0563782199598952</v>
      </c>
      <c r="E146" s="1" t="n">
        <v>0.011331444759207</v>
      </c>
      <c r="F146" s="1" t="n">
        <v>0.00125663959390865</v>
      </c>
      <c r="G146" s="1" t="n">
        <v>-0.0177562550443907</v>
      </c>
    </row>
    <row r="147" customFormat="false" ht="15" hidden="false" customHeight="false" outlineLevel="0" collapsed="false">
      <c r="A147" s="4" t="n">
        <v>42767</v>
      </c>
      <c r="B147" s="1" t="n">
        <v>0.0004</v>
      </c>
      <c r="C147" s="1" t="n">
        <v>0.0396274826570371</v>
      </c>
      <c r="D147" s="1" t="n">
        <v>0.0794334525808571</v>
      </c>
      <c r="E147" s="1" t="n">
        <v>0.0470588235294118</v>
      </c>
      <c r="F147" s="1" t="n">
        <v>0.00234654822335023</v>
      </c>
      <c r="G147" s="1" t="n">
        <v>-0.0024650780608052</v>
      </c>
    </row>
    <row r="148" customFormat="false" ht="15" hidden="false" customHeight="false" outlineLevel="0" collapsed="false">
      <c r="A148" s="4" t="n">
        <v>42795</v>
      </c>
      <c r="B148" s="1" t="n">
        <v>0.0003</v>
      </c>
      <c r="C148" s="1" t="n">
        <v>0.00100050029716892</v>
      </c>
      <c r="D148" s="1" t="n">
        <v>-0.0106865065945214</v>
      </c>
      <c r="E148" s="1" t="n">
        <v>0.00299941394260106</v>
      </c>
      <c r="F148" s="1" t="n">
        <v>0.00049355983772803</v>
      </c>
      <c r="G148" s="1" t="n">
        <v>-0.00408553038471426</v>
      </c>
    </row>
    <row r="149" customFormat="false" ht="15" hidden="false" customHeight="false" outlineLevel="0" collapsed="false">
      <c r="A149" s="4" t="n">
        <v>42826</v>
      </c>
      <c r="B149" s="1" t="n">
        <v>0.0005</v>
      </c>
      <c r="C149" s="1" t="n">
        <v>0.0101811511121301</v>
      </c>
      <c r="D149" s="1" t="n">
        <v>0.00649483831270925</v>
      </c>
      <c r="E149" s="1" t="n">
        <v>0.00751476113794958</v>
      </c>
      <c r="F149" s="1" t="n">
        <v>0.00246018274111659</v>
      </c>
      <c r="G149" s="1" t="n">
        <v>-0.000827129859387932</v>
      </c>
    </row>
    <row r="150" customFormat="false" ht="15" hidden="false" customHeight="false" outlineLevel="0" collapsed="false">
      <c r="A150" s="4" t="n">
        <v>42856</v>
      </c>
      <c r="B150" s="1" t="n">
        <v>0.0006</v>
      </c>
      <c r="C150" s="1" t="n">
        <v>0.0139374404140373</v>
      </c>
      <c r="D150" s="1" t="n">
        <v>-0.0700991713082462</v>
      </c>
      <c r="E150" s="1" t="n">
        <v>0.0340969632392116</v>
      </c>
      <c r="F150" s="1" t="n">
        <v>0.00121747464503041</v>
      </c>
      <c r="G150" s="1" t="n">
        <v>-0.021523178807947</v>
      </c>
    </row>
    <row r="151" customFormat="false" ht="15" hidden="false" customHeight="false" outlineLevel="0" collapsed="false">
      <c r="A151" s="4" t="n">
        <v>42887</v>
      </c>
      <c r="B151" s="1" t="n">
        <v>0.0006</v>
      </c>
      <c r="C151" s="1" t="n">
        <v>0.00611578182993622</v>
      </c>
      <c r="D151" s="1" t="n">
        <v>0.0902848794740685</v>
      </c>
      <c r="E151" s="1" t="n">
        <v>-0.0249206299912329</v>
      </c>
      <c r="F151" s="1" t="n">
        <v>0.00010701825557824</v>
      </c>
      <c r="G151" s="1" t="n">
        <v>0.00169204737732653</v>
      </c>
    </row>
    <row r="152" customFormat="false" ht="15" hidden="false" customHeight="false" outlineLevel="0" collapsed="false">
      <c r="A152" s="4" t="n">
        <v>42917</v>
      </c>
      <c r="B152" s="1" t="n">
        <v>0.0007</v>
      </c>
      <c r="C152" s="1" t="n">
        <v>0.0204245810055865</v>
      </c>
      <c r="D152" s="1" t="n">
        <v>0.0278038322390459</v>
      </c>
      <c r="E152" s="1" t="n">
        <v>0.0217969165337586</v>
      </c>
      <c r="F152" s="1" t="n">
        <v>0.00304535025380703</v>
      </c>
      <c r="G152" s="1" t="n">
        <v>0.00929054054054057</v>
      </c>
    </row>
    <row r="153" customFormat="false" ht="15" hidden="false" customHeight="false" outlineLevel="0" collapsed="false">
      <c r="A153" s="4" t="n">
        <v>42948</v>
      </c>
      <c r="B153" s="1" t="n">
        <v>0.0009</v>
      </c>
      <c r="C153" s="1" t="n">
        <v>0.00293447792571833</v>
      </c>
      <c r="D153" s="1" t="n">
        <v>0.0517567303304869</v>
      </c>
      <c r="E153" s="1" t="n">
        <v>0.0306971904266389</v>
      </c>
      <c r="F153" s="1" t="n">
        <v>0.00410885511651493</v>
      </c>
      <c r="G153" s="1" t="n">
        <v>-0.0133891213389121</v>
      </c>
    </row>
    <row r="154" customFormat="false" ht="15" hidden="false" customHeight="false" outlineLevel="0" collapsed="false">
      <c r="A154" s="4" t="n">
        <v>42979</v>
      </c>
      <c r="B154" s="1" t="n">
        <v>0.0009</v>
      </c>
      <c r="C154" s="1" t="n">
        <v>0.0205908592338404</v>
      </c>
      <c r="D154" s="1" t="n">
        <v>0.0108459869848157</v>
      </c>
      <c r="E154" s="1" t="n">
        <v>-0.0258894613330455</v>
      </c>
      <c r="F154" s="1" t="n">
        <v>0.00101379797979795</v>
      </c>
      <c r="G154" s="1" t="n">
        <v>0.000848176420695568</v>
      </c>
    </row>
    <row r="155" customFormat="false" ht="15" hidden="false" customHeight="false" outlineLevel="0" collapsed="false">
      <c r="A155" s="4" t="n">
        <v>43009</v>
      </c>
      <c r="B155" s="1" t="n">
        <v>0.0009</v>
      </c>
      <c r="C155" s="1" t="n">
        <v>0.0231758180332804</v>
      </c>
      <c r="D155" s="1" t="n">
        <v>-0.0778663396689148</v>
      </c>
      <c r="E155" s="1" t="n">
        <v>0.0338894681960376</v>
      </c>
      <c r="F155" s="1" t="n">
        <v>-0.00102858585858578</v>
      </c>
      <c r="G155" s="1" t="n">
        <v>0.00677966101694927</v>
      </c>
    </row>
    <row r="156" customFormat="false" ht="15" hidden="false" customHeight="false" outlineLevel="0" collapsed="false">
      <c r="A156" s="4" t="n">
        <v>43040</v>
      </c>
      <c r="B156" s="1" t="n">
        <v>0.0008</v>
      </c>
      <c r="C156" s="1" t="n">
        <v>0.0305933770381577</v>
      </c>
      <c r="D156" s="1" t="n">
        <v>-0.0105053191489363</v>
      </c>
      <c r="E156" s="1" t="n">
        <v>0.027231467473525</v>
      </c>
      <c r="F156" s="1" t="n">
        <v>-0.00202640688259137</v>
      </c>
      <c r="G156" s="1" t="n">
        <v>-0.0101010101010102</v>
      </c>
    </row>
    <row r="157" customFormat="false" ht="15" hidden="false" customHeight="false" outlineLevel="0" collapsed="false">
      <c r="A157" s="4" t="n">
        <v>43070</v>
      </c>
      <c r="B157" s="1" t="n">
        <v>0.0009</v>
      </c>
      <c r="C157" s="1" t="n">
        <v>0.0110198833366344</v>
      </c>
      <c r="D157" s="1" t="n">
        <v>0.035076749244882</v>
      </c>
      <c r="E157" s="1" t="n">
        <v>-0.0595449603833373</v>
      </c>
      <c r="F157" s="1" t="n">
        <v>0.00195489340101518</v>
      </c>
      <c r="G157" s="1" t="n">
        <v>0.00200578347777469</v>
      </c>
    </row>
    <row r="158" customFormat="false" ht="15" hidden="false" customHeight="false" outlineLevel="0" collapsed="false">
      <c r="A158" s="4" t="n">
        <v>43101</v>
      </c>
      <c r="B158" s="1" t="n">
        <v>0.0011</v>
      </c>
      <c r="C158" s="1" t="n">
        <v>0.0571266510007293</v>
      </c>
      <c r="D158" s="1" t="n">
        <v>0.0604508878100685</v>
      </c>
      <c r="E158" s="1" t="n">
        <v>-0.0320855614973261</v>
      </c>
      <c r="F158" s="1" t="n">
        <v>-0.0031852941176469</v>
      </c>
      <c r="G158" s="1" t="n">
        <v>0.0154373927958833</v>
      </c>
    </row>
    <row r="159" customFormat="false" ht="15" hidden="false" customHeight="false" outlineLevel="0" collapsed="false">
      <c r="A159" s="4" t="n">
        <v>43132</v>
      </c>
      <c r="B159" s="1" t="n">
        <v>0.0011</v>
      </c>
      <c r="C159" s="1" t="n">
        <v>-0.0369845163268435</v>
      </c>
      <c r="D159" s="1" t="n">
        <v>-0.031794807475229</v>
      </c>
      <c r="E159" s="1" t="n">
        <v>-0.0441988950276243</v>
      </c>
      <c r="F159" s="1" t="n">
        <v>-4.03462321790782E-005</v>
      </c>
      <c r="G159" s="1" t="n">
        <v>0.00253378378378377</v>
      </c>
    </row>
    <row r="160" customFormat="false" ht="15" hidden="false" customHeight="false" outlineLevel="0" collapsed="false">
      <c r="A160" s="4" t="n">
        <v>43160</v>
      </c>
      <c r="B160" s="1" t="n">
        <v>0.0012</v>
      </c>
      <c r="C160" s="1" t="n">
        <v>-0.0255152706757728</v>
      </c>
      <c r="D160" s="1" t="n">
        <v>-0.025325474447827</v>
      </c>
      <c r="E160" s="1" t="n">
        <v>0.0389988358556461</v>
      </c>
      <c r="F160" s="1" t="n">
        <v>0.000148205912334554</v>
      </c>
      <c r="G160" s="1" t="n">
        <v>-0.00274641954507149</v>
      </c>
    </row>
    <row r="161" customFormat="false" ht="15" hidden="false" customHeight="false" outlineLevel="0" collapsed="false">
      <c r="A161" s="4" t="n">
        <v>43191</v>
      </c>
      <c r="B161" s="1" t="n">
        <v>0.0014</v>
      </c>
      <c r="C161" s="1" t="n">
        <v>0.00373241458512785</v>
      </c>
      <c r="D161" s="1" t="n">
        <v>-0.0288410419989368</v>
      </c>
      <c r="E161" s="1" t="n">
        <v>0.0212885154061624</v>
      </c>
      <c r="F161" s="1" t="n">
        <v>-0.00269626530612255</v>
      </c>
      <c r="G161" s="1" t="n">
        <v>-0.0118343195266273</v>
      </c>
    </row>
    <row r="162" customFormat="false" ht="15" hidden="false" customHeight="false" outlineLevel="0" collapsed="false">
      <c r="A162" s="4" t="n">
        <v>43221</v>
      </c>
      <c r="B162" s="1" t="n">
        <v>0.0014</v>
      </c>
      <c r="C162" s="1" t="n">
        <v>0.0239457338999674</v>
      </c>
      <c r="D162" s="1" t="n">
        <v>0.050704803612974</v>
      </c>
      <c r="E162" s="1" t="n">
        <v>-0.00603400987383429</v>
      </c>
      <c r="F162" s="1" t="n">
        <v>0.000528821721311523</v>
      </c>
      <c r="G162" s="1" t="n">
        <v>0.0205303678357571</v>
      </c>
    </row>
    <row r="163" customFormat="false" ht="15" hidden="false" customHeight="false" outlineLevel="0" collapsed="false">
      <c r="A163" s="4" t="n">
        <v>43252</v>
      </c>
      <c r="B163" s="1" t="n">
        <v>0.0014</v>
      </c>
      <c r="C163" s="1" t="n">
        <v>0.00605054148457684</v>
      </c>
      <c r="D163" s="1" t="n">
        <v>0.0121784435037446</v>
      </c>
      <c r="E163" s="1" t="n">
        <v>0.0278853293070025</v>
      </c>
      <c r="F163" s="1" t="n">
        <v>-0.0005799282051282</v>
      </c>
      <c r="G163" s="1" t="n">
        <v>-0.0176026823134953</v>
      </c>
    </row>
    <row r="164" customFormat="false" ht="15" hidden="false" customHeight="false" outlineLevel="0" collapsed="false">
      <c r="A164" s="4" t="n">
        <v>43282</v>
      </c>
      <c r="B164" s="1" t="n">
        <v>0.0016</v>
      </c>
      <c r="C164" s="1" t="n">
        <v>0.0370931112793338</v>
      </c>
      <c r="D164" s="1" t="n">
        <v>0.0226483078110926</v>
      </c>
      <c r="E164" s="1" t="n">
        <v>0.0156756756756757</v>
      </c>
      <c r="F164" s="1" t="n">
        <v>0.00365602261048315</v>
      </c>
      <c r="G164" s="1" t="n">
        <v>0.0102389078498293</v>
      </c>
    </row>
    <row r="165" customFormat="false" ht="15" hidden="false" customHeight="false" outlineLevel="0" collapsed="false">
      <c r="A165" s="4" t="n">
        <v>43313</v>
      </c>
      <c r="B165" s="1" t="n">
        <v>0.0016</v>
      </c>
      <c r="C165" s="1" t="n">
        <v>0.0324625432193622</v>
      </c>
      <c r="D165" s="1" t="n">
        <v>0.0429721907638103</v>
      </c>
      <c r="E165" s="1" t="n">
        <v>0.00957956359765833</v>
      </c>
      <c r="F165" s="1" t="n">
        <v>-0.00154932307692313</v>
      </c>
      <c r="G165" s="1" t="n">
        <v>0.0185810810810811</v>
      </c>
    </row>
    <row r="166" customFormat="false" ht="15" hidden="false" customHeight="false" outlineLevel="0" collapsed="false">
      <c r="A166" s="4" t="n">
        <v>43344</v>
      </c>
      <c r="B166" s="1" t="n">
        <v>0.0015</v>
      </c>
      <c r="C166" s="1" t="n">
        <v>0.00554349928205711</v>
      </c>
      <c r="D166" s="1" t="n">
        <v>-0.0158653556131991</v>
      </c>
      <c r="E166" s="1" t="n">
        <v>-0.0101060394801367</v>
      </c>
      <c r="F166" s="1" t="n">
        <v>0.00159479423868314</v>
      </c>
      <c r="G166" s="1" t="n">
        <v>-0.0033167495854064</v>
      </c>
    </row>
    <row r="167" customFormat="false" ht="15" hidden="false" customHeight="false" outlineLevel="0" collapsed="false">
      <c r="A167" s="4" t="n">
        <v>43374</v>
      </c>
      <c r="B167" s="1" t="n">
        <v>0.0019</v>
      </c>
      <c r="C167" s="1" t="n">
        <v>-0.0684900962503251</v>
      </c>
      <c r="D167" s="1" t="n">
        <v>-0.147787176658085</v>
      </c>
      <c r="E167" s="1" t="n">
        <v>0.012861736334405</v>
      </c>
      <c r="F167" s="1" t="n">
        <v>0.000493693415637875</v>
      </c>
      <c r="G167" s="1" t="n">
        <v>0.00748752079866888</v>
      </c>
    </row>
    <row r="168" customFormat="false" ht="15" hidden="false" customHeight="false" outlineLevel="0" collapsed="false">
      <c r="A168" s="4" t="n">
        <v>43405</v>
      </c>
      <c r="B168" s="1" t="n">
        <v>0.0018</v>
      </c>
      <c r="C168" s="1" t="n">
        <v>0.0202664964493737</v>
      </c>
      <c r="D168" s="1" t="n">
        <v>0.0369704380349565</v>
      </c>
      <c r="E168" s="1" t="n">
        <v>0.0412698412698414</v>
      </c>
      <c r="F168" s="1" t="n">
        <v>-0.00102986611740485</v>
      </c>
      <c r="G168" s="1" t="n">
        <v>-0.0363336085879438</v>
      </c>
    </row>
    <row r="169" customFormat="false" ht="15" hidden="false" customHeight="false" outlineLevel="0" collapsed="false">
      <c r="A169" s="4" t="n">
        <v>43435</v>
      </c>
      <c r="B169" s="1" t="n">
        <v>0.0019</v>
      </c>
      <c r="C169" s="1" t="n">
        <v>-0.0904014174392535</v>
      </c>
      <c r="D169" s="1" t="n">
        <v>-0.120915070257019</v>
      </c>
      <c r="E169" s="1" t="n">
        <v>-0.0707818688763811</v>
      </c>
      <c r="F169" s="1" t="n">
        <v>0.00266030927835059</v>
      </c>
      <c r="G169" s="1" t="n">
        <v>0.00445691600704667</v>
      </c>
    </row>
    <row r="170" customFormat="false" ht="15" hidden="false" customHeight="false" outlineLevel="0" collapsed="false">
      <c r="A170" s="4" t="n">
        <v>43466</v>
      </c>
      <c r="B170" s="1" t="n">
        <v>0.0021</v>
      </c>
      <c r="C170" s="1" t="n">
        <v>0.0800207397165573</v>
      </c>
      <c r="D170" s="1" t="n">
        <v>0.141117829710737</v>
      </c>
      <c r="E170" s="1" t="n">
        <v>0.0546056260341976</v>
      </c>
      <c r="F170" s="1" t="n">
        <v>0.00670272164948438</v>
      </c>
      <c r="G170" s="1" t="n">
        <v>-0.023235800344234</v>
      </c>
    </row>
    <row r="171" customFormat="false" ht="15" hidden="false" customHeight="false" outlineLevel="0" collapsed="false">
      <c r="A171" s="4" t="n">
        <v>43497</v>
      </c>
      <c r="B171" s="1" t="n">
        <v>0.0018</v>
      </c>
      <c r="C171" s="1" t="n">
        <v>0.0320051208193311</v>
      </c>
      <c r="D171" s="1" t="n">
        <v>0.0494092373791621</v>
      </c>
      <c r="E171" s="1" t="n">
        <v>0.0366108786610879</v>
      </c>
      <c r="F171" s="1" t="n">
        <v>0.00364858316221772</v>
      </c>
      <c r="G171" s="1" t="n">
        <v>-0.00881057268722463</v>
      </c>
    </row>
    <row r="172" customFormat="false" ht="15" hidden="false" customHeight="false" outlineLevel="0" collapsed="false">
      <c r="A172" s="4" t="n">
        <v>43525</v>
      </c>
      <c r="B172" s="1" t="n">
        <v>0.0019</v>
      </c>
      <c r="C172" s="1" t="n">
        <v>0.0193663734710763</v>
      </c>
      <c r="D172" s="1" t="n">
        <v>-0.00307062436028671</v>
      </c>
      <c r="E172" s="1" t="n">
        <v>0.0294258452656184</v>
      </c>
      <c r="F172" s="1" t="n">
        <v>0.00377184615384629</v>
      </c>
      <c r="G172" s="1" t="n">
        <v>-0.0213066666666667</v>
      </c>
    </row>
    <row r="173" customFormat="false" ht="15" hidden="false" customHeight="false" outlineLevel="0" collapsed="false">
      <c r="A173" s="4" t="n">
        <v>43556</v>
      </c>
      <c r="B173" s="1" t="n">
        <v>0.0021</v>
      </c>
      <c r="C173" s="1" t="n">
        <v>0.0404113778865269</v>
      </c>
      <c r="D173" s="1" t="n">
        <v>-0.0496235455167693</v>
      </c>
      <c r="E173" s="1" t="n">
        <v>0.0093688362919131</v>
      </c>
      <c r="F173" s="1" t="n">
        <v>0.00280363729508193</v>
      </c>
      <c r="G173" s="1" t="n">
        <v>-0.0218181818181819</v>
      </c>
    </row>
    <row r="174" customFormat="false" ht="15" hidden="false" customHeight="false" outlineLevel="0" collapsed="false">
      <c r="A174" s="4" t="n">
        <v>43586</v>
      </c>
      <c r="B174" s="1" t="n">
        <v>0.0021</v>
      </c>
      <c r="C174" s="1" t="n">
        <v>-0.0636460515194943</v>
      </c>
      <c r="D174" s="1" t="n">
        <v>-0.0265034209578683</v>
      </c>
      <c r="E174" s="1" t="n">
        <v>-0.00439667806546162</v>
      </c>
      <c r="F174" s="1" t="n">
        <v>0.0071405327868852</v>
      </c>
      <c r="G174" s="1" t="n">
        <v>-0.0195167286245352</v>
      </c>
    </row>
    <row r="175" customFormat="false" ht="15" hidden="false" customHeight="false" outlineLevel="0" collapsed="false">
      <c r="A175" s="4" t="n">
        <v>43617</v>
      </c>
      <c r="B175" s="1" t="n">
        <v>0.0018</v>
      </c>
      <c r="C175" s="1" t="n">
        <v>0.0703292522395198</v>
      </c>
      <c r="D175" s="1" t="n">
        <v>0.121698601760746</v>
      </c>
      <c r="E175" s="1" t="n">
        <v>0.0349789545510304</v>
      </c>
      <c r="F175" s="1" t="n">
        <v>0.00532506122448972</v>
      </c>
      <c r="G175" s="1" t="n">
        <v>-0.0161137440758293</v>
      </c>
    </row>
    <row r="176" customFormat="false" ht="15" hidden="false" customHeight="false" outlineLevel="0" collapsed="false">
      <c r="A176" s="4" t="n">
        <v>43647</v>
      </c>
      <c r="B176" s="1" t="n">
        <v>0.0019</v>
      </c>
      <c r="C176" s="1" t="n">
        <v>0.0142588703437603</v>
      </c>
      <c r="D176" s="1" t="n">
        <v>-0.0418150639757289</v>
      </c>
      <c r="E176" s="1" t="n">
        <v>-0.0038149737720552</v>
      </c>
      <c r="F176" s="1" t="n">
        <v>-0.00132023421588612</v>
      </c>
      <c r="G176" s="1" t="n">
        <v>0.0154142581888246</v>
      </c>
    </row>
    <row r="177" customFormat="false" ht="15" hidden="false" customHeight="false" outlineLevel="0" collapsed="false">
      <c r="A177" s="4" t="n">
        <v>43678</v>
      </c>
      <c r="B177" s="1" t="n">
        <v>0.0016</v>
      </c>
      <c r="C177" s="1" t="n">
        <v>-0.0159110723626853</v>
      </c>
      <c r="D177" s="1" t="n">
        <v>-0.0516244493392071</v>
      </c>
      <c r="E177" s="1" t="n">
        <v>0.0469123982766875</v>
      </c>
      <c r="F177" s="1" t="n">
        <v>0.00947226993865025</v>
      </c>
      <c r="G177" s="1" t="n">
        <v>0.0113851992409868</v>
      </c>
    </row>
    <row r="178" customFormat="false" ht="15" hidden="false" customHeight="false" outlineLevel="0" collapsed="false">
      <c r="A178" s="4" t="n">
        <v>43709</v>
      </c>
      <c r="B178" s="1" t="n">
        <v>0.0018</v>
      </c>
      <c r="C178" s="1" t="n">
        <v>0.018588488585213</v>
      </c>
      <c r="D178" s="1" t="n">
        <v>-0.0566119901291915</v>
      </c>
      <c r="E178" s="1" t="n">
        <v>0.0362317851061496</v>
      </c>
      <c r="F178" s="1" t="n">
        <v>0.00125931979695437</v>
      </c>
      <c r="G178" s="1" t="n">
        <v>0.00187617260787998</v>
      </c>
    </row>
    <row r="179" customFormat="false" ht="15" hidden="false" customHeight="false" outlineLevel="0" collapsed="false">
      <c r="A179" s="4" t="n">
        <v>43739</v>
      </c>
      <c r="B179" s="1" t="n">
        <v>0.0015</v>
      </c>
      <c r="C179" s="1" t="n">
        <v>0.0215499981798988</v>
      </c>
      <c r="D179" s="1" t="n">
        <v>0.112863517464225</v>
      </c>
      <c r="E179" s="1" t="n">
        <v>-0.0141969831410825</v>
      </c>
      <c r="F179" s="1" t="n">
        <v>0.00195806910569107</v>
      </c>
      <c r="G179" s="1" t="n">
        <v>-0.0102996254681648</v>
      </c>
    </row>
    <row r="180" customFormat="false" ht="15" hidden="false" customHeight="false" outlineLevel="0" collapsed="false">
      <c r="A180" s="4" t="n">
        <v>43770</v>
      </c>
      <c r="B180" s="1" t="n">
        <v>0.0012</v>
      </c>
      <c r="C180" s="1" t="n">
        <v>0.0362042547126109</v>
      </c>
      <c r="D180" s="1" t="n">
        <v>0.103560318008987</v>
      </c>
      <c r="E180" s="1" t="n">
        <v>-0.0207020702070205</v>
      </c>
      <c r="F180" s="1" t="n">
        <v>-0.00206001016260149</v>
      </c>
      <c r="G180" s="1" t="n">
        <v>-0.00283822138126788</v>
      </c>
    </row>
    <row r="181" customFormat="false" ht="15" hidden="false" customHeight="false" outlineLevel="0" collapsed="false">
      <c r="A181" s="4" t="n">
        <v>43800</v>
      </c>
      <c r="B181" s="1" t="n">
        <v>0.0014</v>
      </c>
      <c r="C181" s="1" t="n">
        <v>0.0300546842811047</v>
      </c>
      <c r="D181" s="1" t="n">
        <v>0.0337559029358701</v>
      </c>
      <c r="E181" s="1" t="n">
        <v>0.0383482715361025</v>
      </c>
      <c r="F181" s="1" t="n">
        <v>0.00233976530612234</v>
      </c>
      <c r="G181" s="1" t="n">
        <v>-0.00394960483410389</v>
      </c>
    </row>
    <row r="182" customFormat="false" ht="15" hidden="false" customHeight="false" outlineLevel="0" collapsed="false">
      <c r="A182" s="4" t="n">
        <v>43831</v>
      </c>
      <c r="B182" s="1" t="n">
        <v>0.0013</v>
      </c>
      <c r="C182" s="1" t="n">
        <v>-0.000503085591628816</v>
      </c>
      <c r="D182" s="1" t="n">
        <v>-0.045659377070908</v>
      </c>
      <c r="E182" s="1" t="n">
        <v>0.0611967361740708</v>
      </c>
      <c r="F182" s="1" t="n">
        <v>0.00878793877550987</v>
      </c>
      <c r="G182" s="1" t="n">
        <v>0.0049067713444555</v>
      </c>
    </row>
    <row r="183" customFormat="false" ht="15" hidden="false" customHeight="false" outlineLevel="0" collapsed="false">
      <c r="A183" s="4" t="n">
        <v>43862</v>
      </c>
      <c r="B183" s="1" t="n">
        <v>0.0012</v>
      </c>
      <c r="C183" s="1" t="n">
        <v>-0.0824133418341666</v>
      </c>
      <c r="D183" s="1" t="n">
        <v>0.00791611693632399</v>
      </c>
      <c r="E183" s="1" t="n">
        <v>-0.0991029474583511</v>
      </c>
      <c r="F183" s="1" t="n">
        <v>0.00473966565349548</v>
      </c>
      <c r="G183" s="1" t="n">
        <v>-0.0341796875</v>
      </c>
    </row>
    <row r="184" customFormat="false" ht="15" hidden="false" customHeight="false" outlineLevel="0" collapsed="false">
      <c r="A184" s="4" t="n">
        <v>43891</v>
      </c>
      <c r="B184" s="1" t="n">
        <v>0.0012</v>
      </c>
      <c r="C184" s="1" t="n">
        <v>-0.123720923898613</v>
      </c>
      <c r="D184" s="1" t="n">
        <v>-0.0897003100241131</v>
      </c>
      <c r="E184" s="1" t="n">
        <v>-0.108513672137923</v>
      </c>
      <c r="F184" s="1" t="n">
        <v>-0.0147458484848484</v>
      </c>
      <c r="G184" s="1" t="n">
        <v>-0.0202912053290126</v>
      </c>
    </row>
    <row r="185" customFormat="false" ht="15" hidden="false" customHeight="false" outlineLevel="0" collapsed="false">
      <c r="A185" s="4" t="n">
        <v>43922</v>
      </c>
      <c r="B185" s="1" t="n">
        <v>0</v>
      </c>
      <c r="C185" s="1" t="n">
        <v>0.128138491847257</v>
      </c>
      <c r="D185" s="1" t="n">
        <v>0.138878377355635</v>
      </c>
      <c r="E185" s="1" t="n">
        <v>0.0358288770053477</v>
      </c>
      <c r="F185" s="1" t="n">
        <v>0.0120024254881808</v>
      </c>
      <c r="G185" s="1" t="n">
        <v>0.00206825232678387</v>
      </c>
    </row>
    <row r="186" customFormat="false" ht="15" hidden="false" customHeight="false" outlineLevel="0" collapsed="false">
      <c r="A186" s="4" t="n">
        <v>43952</v>
      </c>
      <c r="B186" s="1" t="n">
        <v>0.0001</v>
      </c>
      <c r="C186" s="1" t="n">
        <v>0.0475217358995319</v>
      </c>
      <c r="D186" s="1" t="n">
        <v>0.0985513024986711</v>
      </c>
      <c r="E186" s="1" t="n">
        <v>0.0387196695921528</v>
      </c>
      <c r="F186" s="1" t="n">
        <v>0.00543153611393676</v>
      </c>
      <c r="G186" s="1" t="n">
        <v>-0.0206398348813209</v>
      </c>
    </row>
    <row r="187" customFormat="false" ht="15" hidden="false" customHeight="false" outlineLevel="0" collapsed="false">
      <c r="A187" s="4" t="n">
        <v>43983</v>
      </c>
      <c r="B187" s="1" t="n">
        <v>0.0001</v>
      </c>
      <c r="C187" s="1" t="n">
        <v>0.019813157422045</v>
      </c>
      <c r="D187" s="1" t="n">
        <v>0.0315770370818462</v>
      </c>
      <c r="E187" s="1" t="n">
        <v>-0.040056689565577</v>
      </c>
      <c r="F187" s="1" t="n">
        <v>0.00525785207700102</v>
      </c>
      <c r="G187" s="1" t="n">
        <v>0.017913593256059</v>
      </c>
    </row>
    <row r="188" customFormat="false" ht="15" hidden="false" customHeight="false" outlineLevel="0" collapsed="false">
      <c r="A188" s="4" t="n">
        <v>44013</v>
      </c>
      <c r="B188" s="1" t="n">
        <v>0.0001</v>
      </c>
      <c r="C188" s="1" t="n">
        <v>0.0562700964630225</v>
      </c>
      <c r="D188" s="1" t="n">
        <v>0.0048671787955199</v>
      </c>
      <c r="E188" s="1" t="n">
        <v>0.0703125</v>
      </c>
      <c r="F188" s="1" t="n">
        <v>0.00206351160444007</v>
      </c>
      <c r="G188" s="1" t="n">
        <v>0.00931677018633548</v>
      </c>
    </row>
    <row r="189" customFormat="false" ht="15" hidden="false" customHeight="false" outlineLevel="0" collapsed="false">
      <c r="A189" s="4" t="n">
        <v>44044</v>
      </c>
      <c r="B189" s="1" t="n">
        <v>0.0001</v>
      </c>
      <c r="C189" s="1" t="n">
        <v>0.0717689100655152</v>
      </c>
      <c r="D189" s="1" t="n">
        <v>0.000992063492063489</v>
      </c>
      <c r="E189" s="1" t="n">
        <v>-0.0282238442822386</v>
      </c>
      <c r="F189" s="1" t="n">
        <v>0.00301646169354841</v>
      </c>
      <c r="G189" s="1" t="n">
        <v>-0.0225641025641027</v>
      </c>
    </row>
    <row r="190" customFormat="false" ht="15" hidden="false" customHeight="false" outlineLevel="0" collapsed="false">
      <c r="A190" s="4" t="n">
        <v>44075</v>
      </c>
      <c r="B190" s="1" t="n">
        <v>0.0001</v>
      </c>
      <c r="C190" s="1" t="n">
        <v>-0.0381056918766258</v>
      </c>
      <c r="D190" s="1" t="n">
        <v>0.0310149828018422</v>
      </c>
      <c r="E190" s="1" t="n">
        <v>-0.00396623448410916</v>
      </c>
      <c r="F190" s="1" t="n">
        <v>-3.07645875251561E-005</v>
      </c>
      <c r="G190" s="1" t="n">
        <v>-0.00944386149003151</v>
      </c>
    </row>
    <row r="191" customFormat="false" ht="15" hidden="false" customHeight="false" outlineLevel="0" collapsed="false">
      <c r="A191" s="4" t="n">
        <v>44105</v>
      </c>
      <c r="B191" s="1" t="n">
        <v>0.0001</v>
      </c>
      <c r="C191" s="1" t="n">
        <v>-0.0267134985338188</v>
      </c>
      <c r="D191" s="1" t="n">
        <v>-0.0422957308453491</v>
      </c>
      <c r="E191" s="1" t="n">
        <v>0.0520991401112798</v>
      </c>
      <c r="F191" s="1" t="n">
        <v>-0.000102729103725885</v>
      </c>
      <c r="G191" s="1" t="n">
        <v>-0.0307203389830507</v>
      </c>
    </row>
    <row r="192" customFormat="false" ht="15" hidden="false" customHeight="false" outlineLevel="0" collapsed="false">
      <c r="A192" s="4" t="n">
        <v>44136</v>
      </c>
      <c r="B192" s="1" t="n">
        <v>0.0001</v>
      </c>
      <c r="C192" s="1" t="n">
        <v>0.109356376638856</v>
      </c>
      <c r="D192" s="1" t="n">
        <v>0.117376158705792</v>
      </c>
      <c r="E192" s="1" t="n">
        <v>0.0197115384615385</v>
      </c>
      <c r="F192" s="1" t="n">
        <v>0.00279039314516116</v>
      </c>
      <c r="G192" s="1" t="n">
        <v>-0.0120218579234974</v>
      </c>
    </row>
    <row r="193" customFormat="false" ht="15" hidden="false" customHeight="false" outlineLevel="0" collapsed="false">
      <c r="A193" s="4" t="n">
        <v>44166</v>
      </c>
      <c r="B193" s="1" t="n">
        <v>0.0001</v>
      </c>
      <c r="C193" s="1" t="n">
        <v>0.038389456370638</v>
      </c>
      <c r="D193" s="1" t="n">
        <v>0.0357007560431712</v>
      </c>
      <c r="E193" s="1" t="n">
        <v>0.00220129795333746</v>
      </c>
      <c r="F193" s="1" t="n">
        <v>0.00169897384305817</v>
      </c>
      <c r="G193" s="1" t="n">
        <v>-0.00524466423737646</v>
      </c>
    </row>
    <row r="194" customFormat="false" ht="15" hidden="false" customHeight="false" outlineLevel="0" collapsed="false">
      <c r="A194" s="4" t="n">
        <v>44197</v>
      </c>
      <c r="B194" s="1" t="n">
        <v>0</v>
      </c>
      <c r="C194" s="1" t="n">
        <v>-0.0102135025966532</v>
      </c>
      <c r="D194" s="1" t="n">
        <v>0.00315070890950486</v>
      </c>
      <c r="E194" s="1" t="n">
        <v>-0.0193089430894309</v>
      </c>
      <c r="F194" s="1" t="n">
        <v>0.000532914572864307</v>
      </c>
      <c r="G194" s="1" t="n">
        <v>0.0313199105145414</v>
      </c>
    </row>
    <row r="195" customFormat="false" ht="15" hidden="false" customHeight="false" outlineLevel="0" collapsed="false">
      <c r="A195" s="4" t="n">
        <v>44228</v>
      </c>
      <c r="B195" s="1" t="n">
        <v>0</v>
      </c>
      <c r="C195" s="1" t="n">
        <v>0.0275462018305834</v>
      </c>
      <c r="D195" s="1" t="n">
        <v>0.010004071424417</v>
      </c>
      <c r="E195" s="1" t="n">
        <v>-0.0507772020725389</v>
      </c>
      <c r="F195" s="1" t="n">
        <v>0.000472723618090365</v>
      </c>
      <c r="G195" s="1" t="n">
        <v>-0.00759219088937091</v>
      </c>
    </row>
    <row r="196" customFormat="false" ht="15" hidden="false" customHeight="false" outlineLevel="0" collapsed="false">
      <c r="A196" s="4" t="n">
        <v>44256</v>
      </c>
      <c r="B196" s="1" t="n">
        <v>0</v>
      </c>
      <c r="C196" s="1" t="n">
        <v>0.0437024133785846</v>
      </c>
      <c r="D196" s="1" t="n">
        <v>-0.0670313849697669</v>
      </c>
      <c r="E196" s="1" t="n">
        <v>0.109203557009852</v>
      </c>
      <c r="F196" s="1" t="n">
        <v>-0.00160395979899475</v>
      </c>
      <c r="G196" s="1" t="n">
        <v>0.0459016393442624</v>
      </c>
    </row>
    <row r="197" customFormat="false" ht="15" hidden="false" customHeight="false" outlineLevel="0" collapsed="false">
      <c r="A197" s="4" t="n">
        <v>44287</v>
      </c>
      <c r="B197" s="1" t="n">
        <v>0</v>
      </c>
      <c r="C197" s="1" t="n">
        <v>0.05322716985248</v>
      </c>
      <c r="D197" s="1" t="n">
        <v>0.00919696315042295</v>
      </c>
      <c r="E197" s="1" t="n">
        <v>0.0421000495294699</v>
      </c>
      <c r="F197" s="1" t="n">
        <v>0.000427734138972902</v>
      </c>
      <c r="G197" s="1" t="n">
        <v>-0.00208986415882961</v>
      </c>
    </row>
    <row r="198" customFormat="false" ht="15" hidden="false" customHeight="false" outlineLevel="0" collapsed="false">
      <c r="A198" s="4" t="n">
        <v>44317</v>
      </c>
      <c r="B198" s="1" t="n">
        <v>0</v>
      </c>
      <c r="C198" s="1" t="n">
        <v>0.00686084142394816</v>
      </c>
      <c r="D198" s="1" t="n">
        <v>-0.056697247706422</v>
      </c>
      <c r="E198" s="1" t="n">
        <v>-0.0166349809885931</v>
      </c>
      <c r="F198" s="1" t="n">
        <v>0.00144003021148031</v>
      </c>
      <c r="G198" s="1" t="n">
        <v>0.032460732984293</v>
      </c>
    </row>
    <row r="199" customFormat="false" ht="15" hidden="false" customHeight="false" outlineLevel="0" collapsed="false">
      <c r="A199" s="4" t="n">
        <v>44348</v>
      </c>
      <c r="B199" s="1" t="n">
        <v>0</v>
      </c>
      <c r="C199" s="1" t="n">
        <v>0.0232327522178148</v>
      </c>
      <c r="D199" s="1" t="n">
        <v>0.059910523244505</v>
      </c>
      <c r="E199" s="1" t="n">
        <v>-0.0223405256569296</v>
      </c>
      <c r="F199" s="1" t="n">
        <v>-0.00263065392354112</v>
      </c>
      <c r="G199" s="1" t="n">
        <v>-0.00912778904665312</v>
      </c>
    </row>
    <row r="200" customFormat="false" ht="15" hidden="false" customHeight="false" outlineLevel="0" collapsed="false">
      <c r="A200" s="4" t="n">
        <v>44378</v>
      </c>
      <c r="B200" s="1" t="n">
        <v>0</v>
      </c>
      <c r="C200" s="1" t="n">
        <v>0.0236198638769851</v>
      </c>
      <c r="D200" s="1" t="n">
        <v>-0.0534042943659386</v>
      </c>
      <c r="E200" s="1" t="n">
        <v>0.0358030830432621</v>
      </c>
      <c r="F200" s="1" t="n">
        <v>0.00136024217961639</v>
      </c>
      <c r="G200" s="1" t="n">
        <v>0</v>
      </c>
    </row>
    <row r="201" customFormat="false" ht="15" hidden="false" customHeight="false" outlineLevel="0" collapsed="false">
      <c r="A201" s="4" t="n">
        <v>44409</v>
      </c>
      <c r="B201" s="1" t="n">
        <v>0</v>
      </c>
      <c r="C201" s="1" t="n">
        <v>0.0302903440293545</v>
      </c>
      <c r="D201" s="1" t="n">
        <v>0.0506656326741632</v>
      </c>
      <c r="E201" s="1" t="n">
        <v>0.0355256841094576</v>
      </c>
      <c r="F201" s="1" t="n">
        <v>-0.00161070564516119</v>
      </c>
      <c r="G201" s="1" t="n">
        <v>0.0235414534288638</v>
      </c>
    </row>
    <row r="202" customFormat="false" ht="15" hidden="false" customHeight="false" outlineLevel="0" collapsed="false">
      <c r="A202" s="4" t="n">
        <v>44440</v>
      </c>
      <c r="B202" s="1" t="n">
        <v>0</v>
      </c>
      <c r="C202" s="1" t="n">
        <v>-0.0466309235563363</v>
      </c>
      <c r="D202" s="1" t="n">
        <v>-0.0487759872062985</v>
      </c>
      <c r="E202" s="1" t="n">
        <v>-0.0578740167564423</v>
      </c>
      <c r="F202" s="1" t="n">
        <v>0.000489828282828286</v>
      </c>
      <c r="G202" s="1" t="n">
        <v>0.0089999999999999</v>
      </c>
    </row>
    <row r="203" customFormat="false" ht="15" hidden="false" customHeight="false" outlineLevel="0" collapsed="false">
      <c r="A203" s="4" t="n">
        <v>44470</v>
      </c>
      <c r="B203" s="1" t="n">
        <v>0</v>
      </c>
      <c r="C203" s="1" t="n">
        <v>0.0699323559735459</v>
      </c>
      <c r="D203" s="1" t="n">
        <v>-0.0151956029744584</v>
      </c>
      <c r="E203" s="1" t="n">
        <v>0.0475012370113805</v>
      </c>
      <c r="F203" s="1" t="n">
        <v>-0.00456351515151521</v>
      </c>
      <c r="G203" s="1" t="n">
        <v>-0.00297324083250738</v>
      </c>
    </row>
    <row r="204" customFormat="false" ht="15" hidden="false" customHeight="false" outlineLevel="0" collapsed="false">
      <c r="A204" s="4" t="n">
        <v>44501</v>
      </c>
      <c r="B204" s="1" t="n">
        <v>0</v>
      </c>
      <c r="C204" s="1" t="n">
        <v>-0.00705086020494505</v>
      </c>
      <c r="D204" s="1" t="n">
        <v>-0.0787261982928431</v>
      </c>
      <c r="E204" s="1" t="n">
        <v>-0.0127538970240908</v>
      </c>
      <c r="F204" s="1" t="n">
        <v>-0.00254636548223342</v>
      </c>
      <c r="G204" s="1" t="n">
        <v>0.0467196819085487</v>
      </c>
    </row>
    <row r="205" customFormat="false" ht="15" hidden="false" customHeight="false" outlineLevel="0" collapsed="false">
      <c r="A205" s="4" t="n">
        <v>44531</v>
      </c>
      <c r="B205" s="1" t="n">
        <v>0.0001</v>
      </c>
      <c r="C205" s="1" t="n">
        <v>0.0446858266383139</v>
      </c>
      <c r="D205" s="1" t="n">
        <v>0.00524536724129998</v>
      </c>
      <c r="E205" s="1" t="n">
        <v>0.091304856767561</v>
      </c>
      <c r="F205" s="1" t="n">
        <v>-0.00150861507128308</v>
      </c>
      <c r="G205" s="1" t="n">
        <v>0.0462949797515417</v>
      </c>
    </row>
    <row r="206" customFormat="false" ht="15" hidden="false" customHeight="false" outlineLevel="0" collapsed="false">
      <c r="A206" s="4" t="n">
        <v>44562</v>
      </c>
      <c r="B206" s="1" t="n">
        <v>0</v>
      </c>
      <c r="C206" s="1" t="n">
        <v>-0.0518574091756469</v>
      </c>
      <c r="D206" s="1" t="n">
        <v>-0.100146317671923</v>
      </c>
      <c r="E206" s="1" t="n">
        <v>-0.0227169468423444</v>
      </c>
      <c r="F206" s="1" t="n">
        <v>-0.00765780612244904</v>
      </c>
      <c r="G206" s="1" t="n">
        <v>0.0536363636363637</v>
      </c>
    </row>
    <row r="207" customFormat="false" ht="15" hidden="false" customHeight="false" outlineLevel="0" collapsed="false">
      <c r="A207" s="4" t="n">
        <v>44593</v>
      </c>
      <c r="B207" s="1" t="n">
        <v>0</v>
      </c>
      <c r="C207" s="1" t="n">
        <v>-0.0299964033089557</v>
      </c>
      <c r="D207" s="1" t="n">
        <v>-0.0370370370370371</v>
      </c>
      <c r="E207" s="1" t="n">
        <v>-0.00976290097629018</v>
      </c>
      <c r="F207" s="1" t="n">
        <v>-0.00657710905349795</v>
      </c>
      <c r="G207" s="1" t="n">
        <v>-0.00949094046591881</v>
      </c>
    </row>
    <row r="208" customFormat="false" ht="15" hidden="false" customHeight="false" outlineLevel="0" collapsed="false">
      <c r="A208" s="4" t="n">
        <v>44621</v>
      </c>
      <c r="B208" s="1" t="n">
        <v>0</v>
      </c>
      <c r="C208" s="1" t="n">
        <v>0.0369330272831927</v>
      </c>
      <c r="D208" s="1" t="n">
        <v>0.0467166979362101</v>
      </c>
      <c r="E208" s="1" t="n">
        <v>0.089939759549432</v>
      </c>
      <c r="F208" s="1" t="n">
        <v>-0.0160059792746115</v>
      </c>
      <c r="G208" s="1" t="n">
        <v>0.00087108013937276</v>
      </c>
    </row>
    <row r="209" customFormat="false" ht="15" hidden="false" customHeight="false" outlineLevel="0" collapsed="false">
      <c r="A209" s="4" t="n">
        <v>44652</v>
      </c>
      <c r="B209" s="1" t="n">
        <v>0</v>
      </c>
      <c r="C209" s="1" t="n">
        <v>-0.0873027259684361</v>
      </c>
      <c r="D209" s="1" t="n">
        <v>-0.0870227639361892</v>
      </c>
      <c r="E209" s="1" t="n">
        <v>-0.0342139454309225</v>
      </c>
      <c r="F209" s="1" t="n">
        <v>-0.0086639199157007</v>
      </c>
      <c r="G209" s="1" t="n">
        <v>0.0426457789382071</v>
      </c>
    </row>
    <row r="210" customFormat="false" ht="15" hidden="false" customHeight="false" outlineLevel="0" collapsed="false">
      <c r="A210" s="4" t="n">
        <v>44682</v>
      </c>
      <c r="B210" s="1" t="n">
        <v>0.0003</v>
      </c>
      <c r="C210" s="1" t="n">
        <v>0.00170295265791598</v>
      </c>
      <c r="D210" s="1" t="n">
        <v>-0.0672425640522235</v>
      </c>
      <c r="E210" s="1" t="n">
        <v>0.0408071748878924</v>
      </c>
      <c r="F210" s="1" t="n">
        <v>0.00532691489361703</v>
      </c>
      <c r="G210" s="1" t="n">
        <v>0.00751252086811349</v>
      </c>
    </row>
    <row r="211" customFormat="false" ht="15" hidden="false" customHeight="false" outlineLevel="0" collapsed="false">
      <c r="A211" s="4" t="n">
        <v>44713</v>
      </c>
      <c r="B211" s="1" t="n">
        <v>0.0006</v>
      </c>
      <c r="C211" s="1" t="n">
        <v>-0.0826540756003434</v>
      </c>
      <c r="D211" s="1" t="n">
        <v>0.0355714586402864</v>
      </c>
      <c r="E211" s="1" t="n">
        <v>-0.0582878939477617</v>
      </c>
      <c r="F211" s="1" t="n">
        <v>-0.0115107944915254</v>
      </c>
      <c r="G211" s="1" t="n">
        <v>-0.0215410107705054</v>
      </c>
    </row>
    <row r="212" customFormat="false" ht="15" hidden="false" customHeight="false" outlineLevel="0" collapsed="false">
      <c r="A212" s="4" t="n">
        <v>44743</v>
      </c>
      <c r="B212" s="1" t="n">
        <v>0.0008</v>
      </c>
      <c r="C212" s="1" t="n">
        <v>0.0920954724972811</v>
      </c>
      <c r="D212" s="1" t="n">
        <v>0.0319105691056911</v>
      </c>
      <c r="E212" s="1" t="n">
        <v>0.053842613897837</v>
      </c>
      <c r="F212" s="1" t="n">
        <v>0.00344374463519315</v>
      </c>
      <c r="G212" s="1" t="n">
        <v>0.00338696020321749</v>
      </c>
    </row>
    <row r="213" customFormat="false" ht="15" hidden="false" customHeight="false" outlineLevel="0" collapsed="false">
      <c r="A213" s="4" t="n">
        <v>44774</v>
      </c>
      <c r="B213" s="1" t="n">
        <v>0.0019</v>
      </c>
      <c r="C213" s="1" t="n">
        <v>-0.0409067085953879</v>
      </c>
      <c r="D213" s="1" t="n">
        <v>0.000787866850502139</v>
      </c>
      <c r="E213" s="1" t="n">
        <v>0.000873362445414916</v>
      </c>
      <c r="F213" s="1" t="n">
        <v>-0.00580047109207704</v>
      </c>
      <c r="G213" s="1" t="n">
        <v>-0.00843881856540085</v>
      </c>
    </row>
    <row r="214" customFormat="false" ht="15" hidden="false" customHeight="false" outlineLevel="0" collapsed="false">
      <c r="A214" s="4" t="n">
        <v>44805</v>
      </c>
      <c r="B214" s="1" t="n">
        <v>0.0019</v>
      </c>
      <c r="C214" s="1" t="n">
        <v>-0.0922013629502215</v>
      </c>
      <c r="D214" s="1" t="n">
        <v>-0.0138752214131077</v>
      </c>
      <c r="E214" s="1" t="n">
        <v>-0.111226773770024</v>
      </c>
      <c r="F214" s="1" t="n">
        <v>-0.0142055663430422</v>
      </c>
      <c r="G214" s="1" t="n">
        <v>0.0221276595744682</v>
      </c>
    </row>
    <row r="215" customFormat="false" ht="15" hidden="false" customHeight="false" outlineLevel="0" collapsed="false">
      <c r="A215" s="4" t="n">
        <v>44835</v>
      </c>
      <c r="B215" s="1" t="n">
        <v>0.0023</v>
      </c>
      <c r="C215" s="1" t="n">
        <v>0.080812354558917</v>
      </c>
      <c r="D215" s="1" t="n">
        <v>0.0426105179123841</v>
      </c>
      <c r="E215" s="1" t="n">
        <v>0.0241736556487422</v>
      </c>
      <c r="F215" s="1" t="n">
        <v>-0.0065105043859649</v>
      </c>
      <c r="G215" s="1" t="n">
        <v>0.0224812656119899</v>
      </c>
    </row>
    <row r="216" customFormat="false" ht="15" hidden="false" customHeight="false" outlineLevel="0" collapsed="false">
      <c r="A216" s="4" t="n">
        <v>44866</v>
      </c>
      <c r="B216" s="1" t="n">
        <v>0.0029</v>
      </c>
      <c r="C216" s="1" t="n">
        <v>0.0557559488857198</v>
      </c>
      <c r="D216" s="1" t="n">
        <v>0.0682427258805514</v>
      </c>
      <c r="E216" s="1" t="n">
        <v>0.0708092485549132</v>
      </c>
      <c r="F216" s="1" t="n">
        <v>0.00917832964601772</v>
      </c>
      <c r="G216" s="1" t="n">
        <v>-0.0130293159609121</v>
      </c>
    </row>
    <row r="217" customFormat="false" ht="15" hidden="false" customHeight="false" outlineLevel="0" collapsed="false">
      <c r="A217" s="4" t="n">
        <v>44896</v>
      </c>
      <c r="B217" s="1" t="n">
        <v>0.0033</v>
      </c>
      <c r="C217" s="1" t="n">
        <v>-0.0577267036651241</v>
      </c>
      <c r="D217" s="1" t="n">
        <v>-0.0372598379344368</v>
      </c>
      <c r="E217" s="1" t="n">
        <v>-0.00978273847840927</v>
      </c>
      <c r="F217" s="1" t="n">
        <v>0.00347998901098912</v>
      </c>
      <c r="G217" s="1" t="n">
        <v>0.0299154057166622</v>
      </c>
    </row>
    <row r="218" customFormat="false" ht="15" hidden="false" customHeight="false" outlineLevel="0" collapsed="false">
      <c r="A218" s="4" t="n">
        <v>44927</v>
      </c>
      <c r="B218" s="1" t="n">
        <v>0.0035</v>
      </c>
      <c r="C218" s="1" t="n">
        <v>0.0626817629951717</v>
      </c>
      <c r="D218" s="1" t="n">
        <v>0.0534898891063274</v>
      </c>
      <c r="E218" s="1" t="n">
        <v>-0.00973574408901257</v>
      </c>
      <c r="F218" s="1" t="n">
        <v>0.011609076923077</v>
      </c>
      <c r="G218" s="1" t="n">
        <v>-0.0112994350282486</v>
      </c>
    </row>
    <row r="219" customFormat="false" ht="15" hidden="false" customHeight="false" outlineLevel="0" collapsed="false">
      <c r="A219" s="4" t="n">
        <v>44958</v>
      </c>
      <c r="B219" s="1" t="n">
        <v>0.0034</v>
      </c>
      <c r="C219" s="1" t="n">
        <v>-0.0244971703376997</v>
      </c>
      <c r="D219" s="1" t="n">
        <v>-0.0475895621406457</v>
      </c>
      <c r="E219" s="1" t="n">
        <v>-0.0505617977528089</v>
      </c>
      <c r="F219" s="1" t="n">
        <v>-0.010138725490196</v>
      </c>
      <c r="G219" s="1" t="n">
        <v>0.0195918367346939</v>
      </c>
    </row>
    <row r="220" customFormat="false" ht="15" hidden="false" customHeight="false" outlineLevel="0" collapsed="false">
      <c r="A220" s="4" t="n">
        <v>44986</v>
      </c>
      <c r="B220" s="1" t="n">
        <v>0.0036</v>
      </c>
      <c r="C220" s="1" t="n">
        <v>0.0365731276856522</v>
      </c>
      <c r="D220" s="1" t="n">
        <v>0.00520107736602582</v>
      </c>
      <c r="E220" s="1" t="n">
        <v>0.0454416638943307</v>
      </c>
      <c r="F220" s="1" t="n">
        <v>0.0135468763796909</v>
      </c>
      <c r="G220" s="1" t="n">
        <v>-0.020744536709564</v>
      </c>
    </row>
    <row r="221" customFormat="false" ht="15" hidden="false" customHeight="false" outlineLevel="0" collapsed="false">
      <c r="A221" s="4" t="n">
        <v>45017</v>
      </c>
      <c r="B221" s="1" t="n">
        <v>0.0035</v>
      </c>
      <c r="C221" s="1" t="n">
        <v>0.0155091920976973</v>
      </c>
      <c r="D221" s="1" t="n">
        <v>0.039453016723644</v>
      </c>
      <c r="E221" s="1" t="n">
        <v>0.0180265654648957</v>
      </c>
      <c r="F221" s="1" t="n">
        <v>0.00194849180327883</v>
      </c>
      <c r="G221" s="1" t="n">
        <v>-0.0114472608340148</v>
      </c>
    </row>
    <row r="222" customFormat="false" ht="15" hidden="false" customHeight="false" outlineLevel="0" collapsed="false">
      <c r="A222" s="4" t="n">
        <v>45047</v>
      </c>
      <c r="B222" s="1" t="n">
        <v>0.0036</v>
      </c>
      <c r="C222" s="1" t="n">
        <v>0.00420768291732676</v>
      </c>
      <c r="D222" s="1" t="n">
        <v>-0.0344</v>
      </c>
      <c r="E222" s="1" t="n">
        <v>-0.0596458527493011</v>
      </c>
      <c r="F222" s="1" t="n">
        <v>-0.00333307439824948</v>
      </c>
      <c r="G222" s="1" t="n">
        <v>0.00909842845326714</v>
      </c>
    </row>
    <row r="223" customFormat="false" ht="15" hidden="false" customHeight="false" outlineLevel="0" collapsed="false">
      <c r="A223" s="4" t="n">
        <v>45078</v>
      </c>
      <c r="B223" s="1" t="n">
        <v>0.004</v>
      </c>
      <c r="C223" s="1" t="n">
        <v>0.0659523891273988</v>
      </c>
      <c r="D223" s="1" t="n">
        <v>0.0142686182454204</v>
      </c>
      <c r="E223" s="1" t="n">
        <v>0.0222733264695412</v>
      </c>
      <c r="F223" s="1" t="n">
        <v>-0.00439681718061669</v>
      </c>
      <c r="G223" s="1" t="n">
        <v>0.0245901639344264</v>
      </c>
    </row>
    <row r="224" customFormat="false" ht="15" hidden="false" customHeight="false" outlineLevel="0" collapsed="false">
      <c r="A224" s="4" t="n">
        <v>45108</v>
      </c>
      <c r="B224" s="1" t="n">
        <v>0.0045</v>
      </c>
      <c r="C224" s="1" t="n">
        <v>0.0320239631785304</v>
      </c>
      <c r="D224" s="1" t="n">
        <v>0.0277727355236883</v>
      </c>
      <c r="E224" s="1" t="n">
        <v>0.0258410531448072</v>
      </c>
      <c r="F224" s="1" t="n">
        <v>0.00732806881243064</v>
      </c>
      <c r="G224" s="1" t="n">
        <v>0.00239999999999996</v>
      </c>
    </row>
    <row r="225" customFormat="false" ht="15" hidden="false" customHeight="false" outlineLevel="0" collapsed="false">
      <c r="A225" s="4" t="n">
        <v>45139</v>
      </c>
      <c r="B225" s="1" t="n">
        <v>0.0045</v>
      </c>
      <c r="C225" s="1" t="n">
        <v>-0.01602246448629</v>
      </c>
      <c r="D225" s="1" t="n">
        <v>-0.00927234192864712</v>
      </c>
      <c r="E225" s="1" t="n">
        <v>-0.0594106463878327</v>
      </c>
      <c r="F225" s="1" t="n">
        <v>0.00428420994475154</v>
      </c>
      <c r="G225" s="1" t="n">
        <v>0.0311252992817239</v>
      </c>
    </row>
    <row r="226" customFormat="false" ht="15" hidden="false" customHeight="false" outlineLevel="0" collapsed="false">
      <c r="A226" s="4" t="n">
        <v>45170</v>
      </c>
      <c r="B226" s="1" t="n">
        <v>0.0043</v>
      </c>
      <c r="C226" s="1" t="n">
        <v>-0.0477831162587767</v>
      </c>
      <c r="D226" s="1" t="n">
        <v>-0.0347624565469292</v>
      </c>
      <c r="E226" s="1" t="n">
        <v>-0.0519897854984788</v>
      </c>
      <c r="F226" s="1" t="n">
        <v>-1.84878587198289E-005</v>
      </c>
      <c r="G226" s="1" t="n">
        <v>0.0448916408668731</v>
      </c>
    </row>
    <row r="227" customFormat="false" ht="15" hidden="false" customHeight="false" outlineLevel="0" collapsed="false">
      <c r="A227" s="4" t="n">
        <v>45200</v>
      </c>
      <c r="B227" s="1" t="n">
        <v>0.0047</v>
      </c>
      <c r="C227" s="1" t="n">
        <v>-0.0211539919629995</v>
      </c>
      <c r="D227" s="1" t="n">
        <v>-0.0570689814387294</v>
      </c>
      <c r="E227" s="1" t="n">
        <v>0.00911528150134067</v>
      </c>
      <c r="F227" s="1" t="n">
        <v>0.00300512735326697</v>
      </c>
      <c r="G227" s="1" t="n">
        <v>0.00740740740740731</v>
      </c>
    </row>
    <row r="228" customFormat="false" ht="15" hidden="false" customHeight="false" outlineLevel="0" collapsed="false">
      <c r="A228" s="4" t="n">
        <v>45231</v>
      </c>
      <c r="B228" s="1" t="n">
        <v>0.0044</v>
      </c>
      <c r="C228" s="1" t="n">
        <v>0.0911954557190808</v>
      </c>
      <c r="D228" s="1" t="n">
        <v>0.0418176476349035</v>
      </c>
      <c r="E228" s="1" t="n">
        <v>0.0510095642933051</v>
      </c>
      <c r="F228" s="1" t="n">
        <v>0.013259557032115</v>
      </c>
      <c r="G228" s="1" t="n">
        <v>0.00808823529411784</v>
      </c>
    </row>
    <row r="229" customFormat="false" ht="15" hidden="false" customHeight="false" outlineLevel="0" collapsed="false">
      <c r="A229" s="4" t="n">
        <v>45261</v>
      </c>
      <c r="B229" s="1" t="n">
        <v>0.0043</v>
      </c>
      <c r="C229" s="1" t="n">
        <v>0.0453026164010488</v>
      </c>
      <c r="D229" s="1" t="n">
        <v>0.194397443128408</v>
      </c>
      <c r="E229" s="1" t="n">
        <v>0.0197500713654955</v>
      </c>
      <c r="F229" s="1" t="n">
        <v>0.0121788706140349</v>
      </c>
      <c r="G229" s="1" t="n">
        <v>0.0217653663837145</v>
      </c>
    </row>
    <row r="230" customFormat="false" ht="15" hidden="false" customHeight="false" outlineLevel="0" collapsed="false">
      <c r="A230" s="4" t="n">
        <v>45292</v>
      </c>
      <c r="B230" s="1" t="n">
        <v>0.0047</v>
      </c>
      <c r="C230" s="1" t="n">
        <v>0.0166799227360526</v>
      </c>
      <c r="D230" s="1" t="n">
        <v>0.0483236266330867</v>
      </c>
      <c r="E230" s="1" t="n">
        <v>-0.0295796574987026</v>
      </c>
      <c r="F230" s="1" t="n">
        <v>0.00509866304347839</v>
      </c>
      <c r="G230" s="1" t="n">
        <v>0.0438397581254724</v>
      </c>
    </row>
    <row r="231" customFormat="false" ht="15" hidden="false" customHeight="false" outlineLevel="0" collapsed="false">
      <c r="A231" s="4" t="n">
        <v>45323</v>
      </c>
      <c r="B231" s="1" t="n">
        <v>0.0042</v>
      </c>
      <c r="C231" s="1" t="n">
        <v>0.0532868414582357</v>
      </c>
      <c r="D231" s="1" t="n">
        <v>0.0801051051051052</v>
      </c>
      <c r="E231" s="1" t="n">
        <v>0.0106951871657754</v>
      </c>
      <c r="F231" s="1" t="n">
        <v>-0.00345828633405643</v>
      </c>
      <c r="G231" s="1" t="n">
        <v>-0.00651701665459814</v>
      </c>
    </row>
    <row r="232" customFormat="false" ht="15" hidden="false" customHeight="false" outlineLevel="0" collapsed="false">
      <c r="A232" s="4" t="n">
        <v>45352</v>
      </c>
      <c r="B232" s="1" t="n">
        <v>0.0043</v>
      </c>
      <c r="C232" s="1" t="n">
        <v>0.0320530095060976</v>
      </c>
      <c r="D232" s="1" t="n">
        <v>-0.0155001042607911</v>
      </c>
      <c r="E232" s="1" t="n">
        <v>0.0721226284140193</v>
      </c>
      <c r="F232" s="1" t="n">
        <v>0.00330422489082971</v>
      </c>
      <c r="G232" s="1" t="n">
        <v>0.0179166666666668</v>
      </c>
    </row>
    <row r="233" customFormat="false" ht="15" hidden="false" customHeight="false" outlineLevel="0" collapsed="false">
      <c r="A233" s="4" t="n">
        <v>45383</v>
      </c>
      <c r="B233" s="1" t="n">
        <v>0.0047</v>
      </c>
      <c r="C233" s="1" t="n">
        <v>-0.0409560537006868</v>
      </c>
      <c r="D233" s="1" t="n">
        <v>-0.0653770121434623</v>
      </c>
      <c r="E233" s="1" t="n">
        <v>0.012909632571996</v>
      </c>
      <c r="F233" s="1" t="n">
        <v>-0.00441932314410498</v>
      </c>
      <c r="G233" s="1" t="n">
        <v>0.00931232091690548</v>
      </c>
    </row>
    <row r="234" customFormat="false" ht="15" hidden="false" customHeight="false" outlineLevel="0" collapsed="false">
      <c r="A234" s="4" t="n">
        <v>45413</v>
      </c>
      <c r="B234" s="1" t="n">
        <v>0.0044</v>
      </c>
      <c r="C234" s="1" t="n">
        <v>0.0494570476292873</v>
      </c>
      <c r="D234" s="1" t="n">
        <v>0.0240972956639975</v>
      </c>
      <c r="E234" s="1" t="n">
        <v>0.0808823529411766</v>
      </c>
      <c r="F234" s="1" t="n">
        <v>0.00898524752475249</v>
      </c>
      <c r="G234" s="1" t="n">
        <v>-0.0170333569907736</v>
      </c>
    </row>
    <row r="235" customFormat="false" ht="15" hidden="false" customHeight="false" outlineLevel="0" collapsed="false">
      <c r="A235" s="4" t="n">
        <v>45444</v>
      </c>
      <c r="B235" s="1" t="n">
        <v>0.0041</v>
      </c>
      <c r="C235" s="1" t="n">
        <v>0.0357574019055424</v>
      </c>
      <c r="D235" s="1" t="n">
        <v>0.0250792948292395</v>
      </c>
      <c r="E235" s="1" t="n">
        <v>-0.0435683804104858</v>
      </c>
      <c r="F235" s="1" t="n">
        <v>0.00522412472647682</v>
      </c>
      <c r="G235" s="1" t="n">
        <v>0.00361010830324915</v>
      </c>
    </row>
    <row r="236" customFormat="false" ht="15" hidden="false" customHeight="false" outlineLevel="0" collapsed="false">
      <c r="A236" s="4" t="n">
        <v>45474</v>
      </c>
      <c r="B236" s="1" t="n">
        <v>0.0045</v>
      </c>
      <c r="C236" s="1" t="n">
        <v>0.012047236280639</v>
      </c>
      <c r="D236" s="1" t="n">
        <v>0.0625314816147369</v>
      </c>
      <c r="E236" s="1" t="n">
        <v>0.0739151168335719</v>
      </c>
      <c r="F236" s="1" t="n">
        <v>0.0121691266375545</v>
      </c>
      <c r="G236" s="1" t="n">
        <v>0.0338129496402877</v>
      </c>
    </row>
    <row r="237" customFormat="false" ht="15" hidden="false" customHeight="false" outlineLevel="0" collapsed="false">
      <c r="A237" s="4" t="n">
        <v>45505</v>
      </c>
      <c r="B237" s="1" t="n">
        <v>0.0048</v>
      </c>
      <c r="C237" s="1" t="n">
        <v>0.0241410417320365</v>
      </c>
      <c r="D237" s="1" t="n">
        <v>0.0182175267506433</v>
      </c>
      <c r="E237" s="1" t="n">
        <v>0.0448490230905863</v>
      </c>
      <c r="F237" s="1" t="n">
        <v>0.00782167748917728</v>
      </c>
      <c r="G237" s="1" t="n">
        <v>0.00695894224077942</v>
      </c>
    </row>
    <row r="238" customFormat="false" ht="15" hidden="false" customHeight="false" outlineLevel="0" collapsed="false">
      <c r="A238" s="4" t="n">
        <v>45536</v>
      </c>
      <c r="B238" s="1" t="n">
        <v>0.004</v>
      </c>
      <c r="C238" s="1" t="n">
        <v>0.0212262705680311</v>
      </c>
      <c r="D238" s="1" t="n">
        <v>-0.0162953109411372</v>
      </c>
      <c r="E238" s="1" t="n">
        <v>0.0540598042527305</v>
      </c>
      <c r="F238" s="1" t="n">
        <v>0.00951839439655178</v>
      </c>
      <c r="G238" s="1" t="n">
        <v>-0.00483759502418801</v>
      </c>
    </row>
    <row r="239" customFormat="false" ht="15" hidden="false" customHeight="false" outlineLevel="0" collapsed="false">
      <c r="A239" s="4" t="n">
        <v>45566</v>
      </c>
      <c r="B239" s="1" t="n">
        <v>0.0039</v>
      </c>
      <c r="C239" s="1" t="n">
        <v>-0.00915757803685602</v>
      </c>
      <c r="D239" s="1" t="n">
        <v>-0.0224475997295469</v>
      </c>
      <c r="E239" s="1" t="n">
        <v>-0.00526742301458671</v>
      </c>
      <c r="F239" s="1" t="n">
        <v>-0.00748018201284784</v>
      </c>
      <c r="G239" s="1" t="n">
        <v>-0.0131944444444444</v>
      </c>
    </row>
    <row r="240" customFormat="false" ht="15" hidden="false" customHeight="false" outlineLevel="0" collapsed="false">
      <c r="A240" s="4" t="n">
        <v>45597</v>
      </c>
      <c r="B240" s="1" t="n">
        <v>0.004</v>
      </c>
      <c r="C240" s="1" t="n">
        <v>0.0585656538819199</v>
      </c>
      <c r="D240" s="1" t="n">
        <v>-0.0225480702725136</v>
      </c>
      <c r="E240" s="1" t="n">
        <v>0.0582484725050916</v>
      </c>
      <c r="F240" s="1" t="n">
        <v>0.00444951298701279</v>
      </c>
      <c r="G240" s="1" t="n">
        <v>-0.0168895144264603</v>
      </c>
    </row>
    <row r="241" customFormat="false" ht="15" hidden="false" customHeight="false" outlineLevel="0" collapsed="false">
      <c r="A241" s="4" t="n">
        <v>45627</v>
      </c>
      <c r="B241" s="1" t="n">
        <v>0.0037</v>
      </c>
      <c r="C241" s="1" t="n">
        <v>-0.0239562635671736</v>
      </c>
      <c r="D241" s="1" t="n">
        <v>-0.0649554246016495</v>
      </c>
      <c r="E241" s="1" t="n">
        <v>-0.0692162763348745</v>
      </c>
      <c r="F241" s="1" t="n">
        <v>0.00325433513513507</v>
      </c>
      <c r="G241" s="1" t="n">
        <v>0.00196536513553314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1"/>
  <sheetViews>
    <sheetView showFormulas="false" showGridLines="true" showRowColHeaders="true" showZeros="true" rightToLeft="false" tabSelected="false" showOutlineSymbols="true" defaultGridColor="true" view="normal" topLeftCell="A218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5" width="8.68"/>
    <col collapsed="false" customWidth="true" hidden="false" outlineLevel="0" max="2" min="2" style="5" width="12.7"/>
    <col collapsed="false" customWidth="true" hidden="false" outlineLevel="0" max="3" min="3" style="5" width="12.42"/>
    <col collapsed="false" customWidth="true" hidden="false" outlineLevel="0" max="4" min="4" style="5" width="12.98"/>
    <col collapsed="false" customWidth="true" hidden="false" outlineLevel="0" max="5" min="5" style="5" width="12.7"/>
    <col collapsed="false" customWidth="true" hidden="false" outlineLevel="0" max="6" min="6" style="5" width="13.95"/>
  </cols>
  <sheetData>
    <row r="1" customFormat="false" ht="13.8" hidden="false" customHeight="false" outlineLevel="0" collapsed="false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H1" s="6" t="s">
        <v>7</v>
      </c>
    </row>
    <row r="2" customFormat="false" ht="13.8" hidden="false" customHeight="false" outlineLevel="0" collapsed="false">
      <c r="A2" s="4" t="n">
        <v>38353</v>
      </c>
      <c r="B2" s="1" t="n">
        <f aca="false">Data!C2-Data!$B2</f>
        <v>-0.0261431744894302</v>
      </c>
      <c r="C2" s="1" t="n">
        <f aca="false">Data!D2-Data!$B2</f>
        <v>-0.0632846813268728</v>
      </c>
      <c r="D2" s="1" t="n">
        <f aca="false">Data!E2-Data!$B2</f>
        <v>0.00741713255184844</v>
      </c>
      <c r="E2" s="1" t="n">
        <f aca="false">Data!F2-Data!$B2</f>
        <v>-0.00288428565294125</v>
      </c>
      <c r="F2" s="1" t="n">
        <f aca="false">Data!G2-Data!$B2</f>
        <v>0.00112975432211098</v>
      </c>
      <c r="H2" s="1" t="n">
        <f aca="false">0.5*D2 + 0.5*F2</f>
        <v>0.00427344343697971</v>
      </c>
    </row>
    <row r="3" customFormat="false" ht="13.8" hidden="false" customHeight="false" outlineLevel="0" collapsed="false">
      <c r="A3" s="4" t="n">
        <v>38384</v>
      </c>
      <c r="B3" s="1" t="n">
        <f aca="false">Data!C3-Data!$B3</f>
        <v>0.0193366391184573</v>
      </c>
      <c r="C3" s="1" t="n">
        <f aca="false">Data!D3-Data!$B3</f>
        <v>-0.0715106256206554</v>
      </c>
      <c r="D3" s="1" t="n">
        <f aca="false">Data!E3-Data!$B3</f>
        <v>0.00644289544235926</v>
      </c>
      <c r="E3" s="1" t="n">
        <f aca="false">Data!F3-Data!$B3</f>
        <v>-0.00331223952900679</v>
      </c>
      <c r="F3" s="1" t="n">
        <f aca="false">Data!G3-Data!$B3</f>
        <v>0.0192711433756805</v>
      </c>
      <c r="H3" s="1" t="n">
        <f aca="false">0.5*D3 + 0.5*F3</f>
        <v>0.0128570194090199</v>
      </c>
    </row>
    <row r="4" customFormat="false" ht="13.8" hidden="false" customHeight="false" outlineLevel="0" collapsed="false">
      <c r="A4" s="4" t="n">
        <v>38412</v>
      </c>
      <c r="B4" s="1" t="n">
        <f aca="false">Data!C4-Data!$B4</f>
        <v>-0.0197004184193466</v>
      </c>
      <c r="C4" s="1" t="n">
        <f aca="false">Data!D4-Data!$B4</f>
        <v>-0.0366932094811018</v>
      </c>
      <c r="D4" s="1" t="n">
        <f aca="false">Data!E4-Data!$B4</f>
        <v>0.00062432863885319</v>
      </c>
      <c r="E4" s="1" t="n">
        <f aca="false">Data!F4-Data!$B4</f>
        <v>-0.00315489260552283</v>
      </c>
      <c r="F4" s="1" t="n">
        <f aca="false">Data!G4-Data!$B4</f>
        <v>0.0165666666666668</v>
      </c>
      <c r="H4" s="1" t="n">
        <f aca="false">0.5*D4 + 0.5*F4</f>
        <v>0.00859549765275999</v>
      </c>
    </row>
    <row r="5" customFormat="false" ht="13.8" hidden="false" customHeight="false" outlineLevel="0" collapsed="false">
      <c r="A5" s="4" t="n">
        <v>38443</v>
      </c>
      <c r="B5" s="1" t="n">
        <f aca="false">Data!C5-Data!$B5</f>
        <v>-0.0212194043570182</v>
      </c>
      <c r="C5" s="1" t="n">
        <f aca="false">Data!D5-Data!$B5</f>
        <v>0.0164799601857994</v>
      </c>
      <c r="D5" s="1" t="n">
        <f aca="false">Data!E5-Data!$B5</f>
        <v>0.0202015165031222</v>
      </c>
      <c r="E5" s="1" t="n">
        <f aca="false">Data!F5-Data!$B5</f>
        <v>0.00402547988921874</v>
      </c>
      <c r="F5" s="1" t="n">
        <f aca="false">Data!G5-Data!$B5</f>
        <v>-0.0274054101221641</v>
      </c>
      <c r="H5" s="1" t="n">
        <f aca="false">0.5*D5 + 0.5*F5</f>
        <v>-0.00360194680952095</v>
      </c>
    </row>
    <row r="6" customFormat="false" ht="13.8" hidden="false" customHeight="false" outlineLevel="0" collapsed="false">
      <c r="A6" s="4" t="n">
        <v>38473</v>
      </c>
      <c r="B6" s="1" t="n">
        <f aca="false">Data!C6-Data!$B6</f>
        <v>0.0292746321806767</v>
      </c>
      <c r="C6" s="1" t="n">
        <f aca="false">Data!D6-Data!$B6</f>
        <v>0.0503687296416939</v>
      </c>
      <c r="D6" s="1" t="n">
        <f aca="false">Data!E6-Data!$B6</f>
        <v>0.0159246073298429</v>
      </c>
      <c r="E6" s="1" t="n">
        <f aca="false">Data!F6-Data!$B6</f>
        <v>0.00087412229950741</v>
      </c>
      <c r="F6" s="1" t="n">
        <f aca="false">Data!G6-Data!$B6</f>
        <v>0.0172956132497763</v>
      </c>
      <c r="H6" s="1" t="n">
        <f aca="false">0.5*D6 + 0.5*F6</f>
        <v>0.0166101102898096</v>
      </c>
    </row>
    <row r="7" customFormat="false" ht="13.8" hidden="false" customHeight="false" outlineLevel="0" collapsed="false">
      <c r="A7" s="4" t="n">
        <v>38504</v>
      </c>
      <c r="B7" s="1" t="n">
        <f aca="false">Data!C7-Data!$B7</f>
        <v>-0.00102796574288203</v>
      </c>
      <c r="C7" s="1" t="n">
        <f aca="false">Data!D7-Data!$B7</f>
        <v>0.0393666666666667</v>
      </c>
      <c r="D7" s="1" t="n">
        <f aca="false">Data!E7-Data!$B7</f>
        <v>0.0417838821002219</v>
      </c>
      <c r="E7" s="1" t="n">
        <f aca="false">Data!F7-Data!$B7</f>
        <v>-0.00103283199015739</v>
      </c>
      <c r="F7" s="1" t="n">
        <f aca="false">Data!G7-Data!$B7</f>
        <v>0.009991483757682</v>
      </c>
      <c r="H7" s="1" t="n">
        <f aca="false">0.5*D7 + 0.5*F7</f>
        <v>0.0258876829289519</v>
      </c>
    </row>
    <row r="8" customFormat="false" ht="13.8" hidden="false" customHeight="false" outlineLevel="0" collapsed="false">
      <c r="A8" s="4" t="n">
        <v>38534</v>
      </c>
      <c r="B8" s="1" t="n">
        <f aca="false">Data!C8-Data!$B8</f>
        <v>0.0346640196703396</v>
      </c>
      <c r="C8" s="1" t="n">
        <f aca="false">Data!D8-Data!$B8</f>
        <v>0.122946534653465</v>
      </c>
      <c r="D8" s="1" t="n">
        <f aca="false">Data!E8-Data!$B8</f>
        <v>0.0133284768211921</v>
      </c>
      <c r="E8" s="1" t="n">
        <f aca="false">Data!F8-Data!$B8</f>
        <v>-0.00494711950541886</v>
      </c>
      <c r="F8" s="1" t="n">
        <f aca="false">Data!G8-Data!$B8</f>
        <v>-0.020613356461405</v>
      </c>
      <c r="H8" s="1" t="n">
        <f aca="false">0.5*D8 + 0.5*F8</f>
        <v>-0.00364243982010645</v>
      </c>
    </row>
    <row r="9" customFormat="false" ht="13.8" hidden="false" customHeight="false" outlineLevel="0" collapsed="false">
      <c r="A9" s="4" t="n">
        <v>38565</v>
      </c>
      <c r="B9" s="1" t="n">
        <f aca="false">Data!C9-Data!$B9</f>
        <v>-0.0121324200913241</v>
      </c>
      <c r="C9" s="1" t="n">
        <f aca="false">Data!D9-Data!$B9</f>
        <v>-0.00968660918528941</v>
      </c>
      <c r="D9" s="1" t="n">
        <f aca="false">Data!E9-Data!$B9</f>
        <v>0.00596495517522422</v>
      </c>
      <c r="E9" s="1" t="n">
        <f aca="false">Data!F9-Data!$B9</f>
        <v>0.00353023435643574</v>
      </c>
      <c r="F9" s="1" t="n">
        <f aca="false">Data!G9-Data!$B9</f>
        <v>-0.00034982332155475</v>
      </c>
      <c r="H9" s="1" t="n">
        <f aca="false">0.5*D9 + 0.5*F9</f>
        <v>0.00280756592683474</v>
      </c>
    </row>
    <row r="10" customFormat="false" ht="13.8" hidden="false" customHeight="false" outlineLevel="0" collapsed="false">
      <c r="A10" s="4" t="n">
        <v>38596</v>
      </c>
      <c r="B10" s="1" t="n">
        <f aca="false">Data!C10-Data!$B10</f>
        <v>0.00504056699677448</v>
      </c>
      <c r="C10" s="1" t="n">
        <f aca="false">Data!D10-Data!$B10</f>
        <v>-0.0014828166519044</v>
      </c>
      <c r="D10" s="1" t="n">
        <f aca="false">Data!E10-Data!$B10</f>
        <v>0.0223328309907155</v>
      </c>
      <c r="E10" s="1" t="n">
        <f aca="false">Data!F10-Data!$B10</f>
        <v>-0.00724949802662732</v>
      </c>
      <c r="F10" s="1" t="n">
        <f aca="false">Data!G10-Data!$B10</f>
        <v>0.0244127753303966</v>
      </c>
      <c r="H10" s="1" t="n">
        <f aca="false">0.5*D10 + 0.5*F10</f>
        <v>0.0233728031605561</v>
      </c>
    </row>
    <row r="11" customFormat="false" ht="13.8" hidden="false" customHeight="false" outlineLevel="0" collapsed="false">
      <c r="A11" s="4" t="n">
        <v>38626</v>
      </c>
      <c r="B11" s="1" t="n">
        <f aca="false">Data!C11-Data!$B11</f>
        <v>-0.0194844522968198</v>
      </c>
      <c r="C11" s="1" t="n">
        <f aca="false">Data!D11-Data!$B11</f>
        <v>-0.0453322306739785</v>
      </c>
      <c r="D11" s="1" t="n">
        <f aca="false">Data!E11-Data!$B11</f>
        <v>-0.0598882446386022</v>
      </c>
      <c r="E11" s="1" t="n">
        <f aca="false">Data!F11-Data!$B11</f>
        <v>-0.00483546414895749</v>
      </c>
      <c r="F11" s="1" t="n">
        <f aca="false">Data!G11-Data!$B11</f>
        <v>0.00673396226415083</v>
      </c>
      <c r="H11" s="1" t="n">
        <f aca="false">0.5*D11 + 0.5*F11</f>
        <v>-0.0265771411872257</v>
      </c>
    </row>
    <row r="12" customFormat="false" ht="13.8" hidden="false" customHeight="false" outlineLevel="0" collapsed="false">
      <c r="A12" s="4" t="n">
        <v>38657</v>
      </c>
      <c r="B12" s="1" t="n">
        <f aca="false">Data!C12-Data!$B12</f>
        <v>0.0345460017969451</v>
      </c>
      <c r="C12" s="1" t="n">
        <f aca="false">Data!D12-Data!$B12</f>
        <v>0.0358874353288988</v>
      </c>
      <c r="D12" s="1" t="n">
        <f aca="false">Data!E12-Data!$B12</f>
        <v>-0.00057262005054749</v>
      </c>
      <c r="E12" s="1" t="n">
        <f aca="false">Data!F12-Data!$B12</f>
        <v>-0.00122695219660674</v>
      </c>
      <c r="F12" s="1" t="n">
        <f aca="false">Data!G12-Data!$B12</f>
        <v>-0.00140076465590478</v>
      </c>
      <c r="H12" s="1" t="n">
        <f aca="false">0.5*D12 + 0.5*F12</f>
        <v>-0.000986692353226135</v>
      </c>
    </row>
    <row r="13" customFormat="false" ht="13.8" hidden="false" customHeight="false" outlineLevel="0" collapsed="false">
      <c r="A13" s="4" t="n">
        <v>38687</v>
      </c>
      <c r="B13" s="1" t="n">
        <f aca="false">Data!C13-Data!$B13</f>
        <v>-0.00298060790703571</v>
      </c>
      <c r="C13" s="1" t="n">
        <f aca="false">Data!D13-Data!$B13</f>
        <v>0.00409148141561442</v>
      </c>
      <c r="D13" s="1" t="n">
        <f aca="false">Data!E13-Data!$B13</f>
        <v>0.0027268593685351</v>
      </c>
      <c r="E13" s="1" t="n">
        <f aca="false">Data!F13-Data!$B13</f>
        <v>0.00158515653883371</v>
      </c>
      <c r="F13" s="1" t="n">
        <f aca="false">Data!G13-Data!$B13</f>
        <v>0.018813251220022</v>
      </c>
      <c r="H13" s="1" t="n">
        <f aca="false">0.5*D13 + 0.5*F13</f>
        <v>0.0107700552942786</v>
      </c>
    </row>
    <row r="14" customFormat="false" ht="13.8" hidden="false" customHeight="false" outlineLevel="0" collapsed="false">
      <c r="A14" s="4" t="n">
        <v>38718</v>
      </c>
      <c r="B14" s="1" t="n">
        <f aca="false">Data!C14-Data!$B14</f>
        <v>0.0229531848242255</v>
      </c>
      <c r="C14" s="1" t="n">
        <f aca="false">Data!D14-Data!$B14</f>
        <v>0.0503488700564972</v>
      </c>
      <c r="D14" s="1" t="n">
        <f aca="false">Data!E14-Data!$B14</f>
        <v>0.022838147833475</v>
      </c>
      <c r="E14" s="1" t="n">
        <f aca="false">Data!F14-Data!$B14</f>
        <v>-0.00125236496396391</v>
      </c>
      <c r="F14" s="1" t="n">
        <f aca="false">Data!G14-Data!$B14</f>
        <v>0.0158277310924369</v>
      </c>
      <c r="H14" s="1" t="n">
        <f aca="false">0.5*D14 + 0.5*F14</f>
        <v>0.019332939462956</v>
      </c>
    </row>
    <row r="15" customFormat="false" ht="13.8" hidden="false" customHeight="false" outlineLevel="0" collapsed="false">
      <c r="A15" s="4" t="n">
        <v>38749</v>
      </c>
      <c r="B15" s="1" t="n">
        <f aca="false">Data!C15-Data!$B15</f>
        <v>-0.00077199050525604</v>
      </c>
      <c r="C15" s="1" t="n">
        <f aca="false">Data!D15-Data!$B15</f>
        <v>0.0356350142402414</v>
      </c>
      <c r="D15" s="1" t="n">
        <f aca="false">Data!E15-Data!$B15</f>
        <v>0.0131562913907285</v>
      </c>
      <c r="E15" s="1" t="n">
        <f aca="false">Data!F15-Data!$B15</f>
        <v>-0.00241945210320631</v>
      </c>
      <c r="F15" s="1" t="n">
        <f aca="false">Data!G15-Data!$B15</f>
        <v>-0.0174148392415499</v>
      </c>
      <c r="H15" s="1" t="n">
        <f aca="false">0.5*D15 + 0.5*F15</f>
        <v>-0.0021292739254107</v>
      </c>
    </row>
    <row r="16" customFormat="false" ht="13.8" hidden="false" customHeight="false" outlineLevel="0" collapsed="false">
      <c r="A16" s="4" t="n">
        <v>38777</v>
      </c>
      <c r="B16" s="1" t="n">
        <f aca="false">Data!C16-Data!$B16</f>
        <v>0.0086064232801731</v>
      </c>
      <c r="C16" s="1" t="n">
        <f aca="false">Data!D16-Data!$B16</f>
        <v>-0.0274020316027089</v>
      </c>
      <c r="D16" s="1" t="n">
        <f aca="false">Data!E16-Data!$B16</f>
        <v>-0.0356277842662439</v>
      </c>
      <c r="E16" s="1" t="n">
        <f aca="false">Data!F16-Data!$B16</f>
        <v>-0.00646539410742982</v>
      </c>
      <c r="F16" s="1" t="n">
        <f aca="false">Data!G16-Data!$B16</f>
        <v>0.0096779264214045</v>
      </c>
      <c r="H16" s="1" t="n">
        <f aca="false">0.5*D16 + 0.5*F16</f>
        <v>-0.0129749289224197</v>
      </c>
    </row>
    <row r="17" customFormat="false" ht="13.8" hidden="false" customHeight="false" outlineLevel="0" collapsed="false">
      <c r="A17" s="4" t="n">
        <v>38808</v>
      </c>
      <c r="B17" s="1" t="n">
        <f aca="false">Data!C17-Data!$B17</f>
        <v>0.0097344515263334</v>
      </c>
      <c r="C17" s="1" t="n">
        <f aca="false">Data!D17-Data!$B17</f>
        <v>-0.071973245251858</v>
      </c>
      <c r="D17" s="1" t="n">
        <f aca="false">Data!E17-Data!$B17</f>
        <v>0.0074262934690417</v>
      </c>
      <c r="E17" s="1" t="n">
        <f aca="false">Data!F17-Data!$B17</f>
        <v>0.0008273440757574</v>
      </c>
      <c r="F17" s="1" t="n">
        <f aca="false">Data!G17-Data!$B17</f>
        <v>0.0153768976897691</v>
      </c>
      <c r="H17" s="1" t="n">
        <f aca="false">0.5*D17 + 0.5*F17</f>
        <v>0.0114015955794054</v>
      </c>
    </row>
    <row r="18" customFormat="false" ht="13.8" hidden="false" customHeight="false" outlineLevel="0" collapsed="false">
      <c r="A18" s="4" t="n">
        <v>38838</v>
      </c>
      <c r="B18" s="1" t="n">
        <f aca="false">Data!C18-Data!$B18</f>
        <v>-0.0332663163121742</v>
      </c>
      <c r="C18" s="1" t="n">
        <f aca="false">Data!D18-Data!$B18</f>
        <v>-0.056772965786208</v>
      </c>
      <c r="D18" s="1" t="n">
        <f aca="false">Data!E18-Data!$B18</f>
        <v>0.007444966442953</v>
      </c>
      <c r="E18" s="1" t="n">
        <f aca="false">Data!F18-Data!$B18</f>
        <v>-0.00402161644803204</v>
      </c>
      <c r="F18" s="1" t="n">
        <f aca="false">Data!G18-Data!$B18</f>
        <v>-0.0140165991902833</v>
      </c>
      <c r="H18" s="1" t="n">
        <f aca="false">0.5*D18 + 0.5*F18</f>
        <v>-0.00328581637366517</v>
      </c>
    </row>
    <row r="19" customFormat="false" ht="13.8" hidden="false" customHeight="false" outlineLevel="0" collapsed="false">
      <c r="A19" s="4" t="n">
        <v>38869</v>
      </c>
      <c r="B19" s="1" t="n">
        <f aca="false">Data!C19-Data!$B19</f>
        <v>-0.00272146534386608</v>
      </c>
      <c r="C19" s="1" t="n">
        <f aca="false">Data!D19-Data!$B19</f>
        <v>-0.0150383536014967</v>
      </c>
      <c r="D19" s="1" t="n">
        <f aca="false">Data!E19-Data!$B19</f>
        <v>0.0176624016912974</v>
      </c>
      <c r="E19" s="1" t="n">
        <f aca="false">Data!F19-Data!$B19</f>
        <v>-0.00580266012044539</v>
      </c>
      <c r="F19" s="1" t="n">
        <f aca="false">Data!G19-Data!$B19</f>
        <v>0.0107179067865904</v>
      </c>
      <c r="H19" s="1" t="n">
        <f aca="false">0.5*D19 + 0.5*F19</f>
        <v>0.0141901542389439</v>
      </c>
    </row>
    <row r="20" customFormat="false" ht="13.8" hidden="false" customHeight="false" outlineLevel="0" collapsed="false">
      <c r="A20" s="4" t="n">
        <v>38899</v>
      </c>
      <c r="B20" s="1" t="n">
        <f aca="false">Data!C20-Data!$B20</f>
        <v>0.00206889477733152</v>
      </c>
      <c r="C20" s="1" t="n">
        <f aca="false">Data!D20-Data!$B20</f>
        <v>-0.028214907302308</v>
      </c>
      <c r="D20" s="1" t="n">
        <f aca="false">Data!E20-Data!$B20</f>
        <v>0.0410081833060556</v>
      </c>
      <c r="E20" s="1" t="n">
        <f aca="false">Data!F20-Data!$B20</f>
        <v>0.00558438738860634</v>
      </c>
      <c r="F20" s="1" t="n">
        <f aca="false">Data!G20-Data!$B20</f>
        <v>0.0080870265914586</v>
      </c>
      <c r="H20" s="1" t="n">
        <f aca="false">0.5*D20 + 0.5*F20</f>
        <v>0.0245476049487571</v>
      </c>
    </row>
    <row r="21" customFormat="false" ht="13.8" hidden="false" customHeight="false" outlineLevel="0" collapsed="false">
      <c r="A21" s="4" t="n">
        <v>38930</v>
      </c>
      <c r="B21" s="1" t="n">
        <f aca="false">Data!C21-Data!$B21</f>
        <v>0.0194193712829227</v>
      </c>
      <c r="C21" s="1" t="n">
        <f aca="false">Data!D21-Data!$B21</f>
        <v>0.0262381543233812</v>
      </c>
      <c r="D21" s="1" t="n">
        <f aca="false">Data!E21-Data!$B21</f>
        <v>0.0216418167580266</v>
      </c>
      <c r="E21" s="1" t="n">
        <f aca="false">Data!F21-Data!$B21</f>
        <v>0.00424799848432754</v>
      </c>
      <c r="F21" s="1" t="n">
        <f aca="false">Data!G21-Data!$B21</f>
        <v>-0.0360471337579618</v>
      </c>
      <c r="H21" s="1" t="n">
        <f aca="false">0.5*D21 + 0.5*F21</f>
        <v>-0.0072026584999676</v>
      </c>
    </row>
    <row r="22" customFormat="false" ht="13.8" hidden="false" customHeight="false" outlineLevel="0" collapsed="false">
      <c r="A22" s="4" t="n">
        <v>38961</v>
      </c>
      <c r="B22" s="1" t="n">
        <f aca="false">Data!C22-Data!$B22</f>
        <v>0.0215342760222188</v>
      </c>
      <c r="C22" s="1" t="n">
        <f aca="false">Data!D22-Data!$B22</f>
        <v>0.0066243650047038</v>
      </c>
      <c r="D22" s="1" t="n">
        <f aca="false">Data!E22-Data!$B22</f>
        <v>-0.0124799634481014</v>
      </c>
      <c r="E22" s="1" t="n">
        <f aca="false">Data!F22-Data!$B22</f>
        <v>0.000278717004024149</v>
      </c>
      <c r="F22" s="1" t="n">
        <f aca="false">Data!G22-Data!$B22</f>
        <v>0.00412368421052633</v>
      </c>
      <c r="H22" s="1" t="n">
        <f aca="false">0.5*D22 + 0.5*F22</f>
        <v>-0.00417813961878756</v>
      </c>
    </row>
    <row r="23" customFormat="false" ht="13.8" hidden="false" customHeight="false" outlineLevel="0" collapsed="false">
      <c r="A23" s="4" t="n">
        <v>38991</v>
      </c>
      <c r="B23" s="1" t="n">
        <f aca="false">Data!C23-Data!$B23</f>
        <v>0.0284097529258778</v>
      </c>
      <c r="C23" s="1" t="n">
        <f aca="false">Data!D23-Data!$B23</f>
        <v>0.0811568875651527</v>
      </c>
      <c r="D23" s="1" t="n">
        <f aca="false">Data!E23-Data!$B23</f>
        <v>0.047878277734678</v>
      </c>
      <c r="E23" s="1" t="n">
        <f aca="false">Data!F23-Data!$B23</f>
        <v>0.000589371258291609</v>
      </c>
      <c r="F23" s="1" t="n">
        <f aca="false">Data!G23-Data!$B23</f>
        <v>0.0065035889070149</v>
      </c>
      <c r="H23" s="1" t="n">
        <f aca="false">0.5*D23 + 0.5*F23</f>
        <v>0.0271909333208465</v>
      </c>
    </row>
    <row r="24" customFormat="false" ht="13.8" hidden="false" customHeight="false" outlineLevel="0" collapsed="false">
      <c r="A24" s="4" t="n">
        <v>39022</v>
      </c>
      <c r="B24" s="1" t="n">
        <f aca="false">Data!C24-Data!$B24</f>
        <v>0.0146916876574308</v>
      </c>
      <c r="C24" s="1" t="n">
        <f aca="false">Data!D24-Data!$B24</f>
        <v>0.0227296740994853</v>
      </c>
      <c r="D24" s="1" t="n">
        <f aca="false">Data!E24-Data!$B24</f>
        <v>0.0297233038348081</v>
      </c>
      <c r="E24" s="1" t="n">
        <f aca="false">Data!F24-Data!$B24</f>
        <v>0.00236397861646574</v>
      </c>
      <c r="F24" s="1" t="n">
        <f aca="false">Data!G24-Data!$B24</f>
        <v>0.00467812752219519</v>
      </c>
      <c r="H24" s="1" t="n">
        <f aca="false">0.5*D24 + 0.5*F24</f>
        <v>0.0172007156785016</v>
      </c>
    </row>
    <row r="25" customFormat="false" ht="13.8" hidden="false" customHeight="false" outlineLevel="0" collapsed="false">
      <c r="A25" s="4" t="n">
        <v>39052</v>
      </c>
      <c r="B25" s="1" t="n">
        <f aca="false">Data!C25-Data!$B25</f>
        <v>0.0099122169543415</v>
      </c>
      <c r="C25" s="1" t="n">
        <f aca="false">Data!D25-Data!$B25</f>
        <v>-0.010347085351595</v>
      </c>
      <c r="D25" s="1" t="n">
        <f aca="false">Data!E25-Data!$B25</f>
        <v>0.0110392718770311</v>
      </c>
      <c r="E25" s="1" t="n">
        <f aca="false">Data!F25-Data!$B25</f>
        <v>-0.00824680472855776</v>
      </c>
      <c r="F25" s="1" t="n">
        <f aca="false">Data!G25-Data!$B25</f>
        <v>0.010101359801489</v>
      </c>
      <c r="H25" s="1" t="n">
        <f aca="false">0.5*D25 + 0.5*F25</f>
        <v>0.0105703158392601</v>
      </c>
    </row>
    <row r="26" customFormat="false" ht="13.8" hidden="false" customHeight="false" outlineLevel="0" collapsed="false">
      <c r="A26" s="4" t="n">
        <v>39083</v>
      </c>
      <c r="B26" s="1" t="n">
        <f aca="false">Data!C26-Data!$B26</f>
        <v>0.0105322306455317</v>
      </c>
      <c r="C26" s="1" t="n">
        <f aca="false">Data!D26-Data!$B26</f>
        <v>0.0250167086905361</v>
      </c>
      <c r="D26" s="1" t="n">
        <f aca="false">Data!E26-Data!$B26</f>
        <v>-0.00586412884333813</v>
      </c>
      <c r="E26" s="1" t="n">
        <f aca="false">Data!F26-Data!$B26</f>
        <v>-0.00446104654086792</v>
      </c>
      <c r="F26" s="1" t="n">
        <f aca="false">Data!G26-Data!$B26</f>
        <v>-0.0085050903119868</v>
      </c>
      <c r="H26" s="1" t="n">
        <f aca="false">0.5*D26 + 0.5*F26</f>
        <v>-0.00718460957766247</v>
      </c>
    </row>
    <row r="27" customFormat="false" ht="13.8" hidden="false" customHeight="false" outlineLevel="0" collapsed="false">
      <c r="A27" s="4" t="n">
        <v>39114</v>
      </c>
      <c r="B27" s="1" t="n">
        <f aca="false">Data!C27-Data!$B27</f>
        <v>-0.0234921684019917</v>
      </c>
      <c r="C27" s="1" t="n">
        <f aca="false">Data!D27-Data!$B27</f>
        <v>-0.0343355976485958</v>
      </c>
      <c r="D27" s="1" t="n">
        <f aca="false">Data!E27-Data!$B27</f>
        <v>0.0335900293255132</v>
      </c>
      <c r="E27" s="1" t="n">
        <f aca="false">Data!F27-Data!$B27</f>
        <v>0.0068555564326241</v>
      </c>
      <c r="F27" s="1" t="n">
        <f aca="false">Data!G27-Data!$B27</f>
        <v>-0.0244100577081616</v>
      </c>
      <c r="H27" s="1" t="n">
        <f aca="false">0.5*D27 + 0.5*F27</f>
        <v>0.0045899858086758</v>
      </c>
    </row>
    <row r="28" customFormat="false" ht="13.8" hidden="false" customHeight="false" outlineLevel="0" collapsed="false">
      <c r="A28" s="4" t="n">
        <v>39142</v>
      </c>
      <c r="B28" s="1" t="n">
        <f aca="false">Data!C28-Data!$B28</f>
        <v>0.0068159878594</v>
      </c>
      <c r="C28" s="1" t="n">
        <f aca="false">Data!D28-Data!$B28</f>
        <v>-0.0154167256189995</v>
      </c>
      <c r="D28" s="1" t="n">
        <f aca="false">Data!E28-Data!$B28</f>
        <v>0.0363218479386677</v>
      </c>
      <c r="E28" s="1" t="n">
        <f aca="false">Data!F28-Data!$B28</f>
        <v>0.00055236183601612</v>
      </c>
      <c r="F28" s="1" t="n">
        <f aca="false">Data!G28-Data!$B28</f>
        <v>0.021794276094276</v>
      </c>
      <c r="H28" s="1" t="n">
        <f aca="false">0.5*D28 + 0.5*F28</f>
        <v>0.0290580620164719</v>
      </c>
    </row>
    <row r="29" customFormat="false" ht="13.8" hidden="false" customHeight="false" outlineLevel="0" collapsed="false">
      <c r="A29" s="4" t="n">
        <v>39173</v>
      </c>
      <c r="B29" s="1" t="n">
        <f aca="false">Data!C29-Data!$B29</f>
        <v>0.0397794695406252</v>
      </c>
      <c r="C29" s="1" t="n">
        <f aca="false">Data!D29-Data!$B29</f>
        <v>0.0947313234542668</v>
      </c>
      <c r="D29" s="1" t="n">
        <f aca="false">Data!E29-Data!$B29</f>
        <v>0.0270637482900138</v>
      </c>
      <c r="E29" s="1" t="n">
        <f aca="false">Data!F29-Data!$B29</f>
        <v>-0.00377503584723597</v>
      </c>
      <c r="F29" s="1" t="n">
        <f aca="false">Data!G29-Data!$B29</f>
        <v>-0.007681378178835</v>
      </c>
      <c r="H29" s="1" t="n">
        <f aca="false">0.5*D29 + 0.5*F29</f>
        <v>0.0096911850555894</v>
      </c>
    </row>
    <row r="30" customFormat="false" ht="13.8" hidden="false" customHeight="false" outlineLevel="0" collapsed="false">
      <c r="A30" s="4" t="n">
        <v>39203</v>
      </c>
      <c r="B30" s="1" t="n">
        <f aca="false">Data!C30-Data!$B30</f>
        <v>0.0306705146036161</v>
      </c>
      <c r="C30" s="1" t="n">
        <f aca="false">Data!D30-Data!$B30</f>
        <v>-0.00208543313187671</v>
      </c>
      <c r="D30" s="1" t="n">
        <f aca="false">Data!E30-Data!$B30</f>
        <v>0.00452068965517238</v>
      </c>
      <c r="E30" s="1" t="n">
        <f aca="false">Data!F30-Data!$B30</f>
        <v>-0.0115521622983872</v>
      </c>
      <c r="F30" s="1" t="n">
        <f aca="false">Data!G30-Data!$B30</f>
        <v>0.0238835390946501</v>
      </c>
      <c r="H30" s="1" t="n">
        <f aca="false">0.5*D30 + 0.5*F30</f>
        <v>0.0142021143749112</v>
      </c>
    </row>
    <row r="31" customFormat="false" ht="13.8" hidden="false" customHeight="false" outlineLevel="0" collapsed="false">
      <c r="A31" s="4" t="n">
        <v>39234</v>
      </c>
      <c r="B31" s="1" t="n">
        <f aca="false">Data!C31-Data!$B31</f>
        <v>-0.0207627894177133</v>
      </c>
      <c r="C31" s="1" t="n">
        <f aca="false">Data!D31-Data!$B31</f>
        <v>-0.0595211877513145</v>
      </c>
      <c r="D31" s="1" t="n">
        <f aca="false">Data!E31-Data!$B31</f>
        <v>-0.0515669533131992</v>
      </c>
      <c r="E31" s="1" t="n">
        <f aca="false">Data!F31-Data!$B31</f>
        <v>-0.00135619279816512</v>
      </c>
      <c r="F31" s="1" t="n">
        <f aca="false">Data!G31-Data!$B31</f>
        <v>0.0016044835868696</v>
      </c>
      <c r="H31" s="1" t="n">
        <f aca="false">0.5*D31 + 0.5*F31</f>
        <v>-0.0249812348631648</v>
      </c>
    </row>
    <row r="32" customFormat="false" ht="13.8" hidden="false" customHeight="false" outlineLevel="0" collapsed="false">
      <c r="A32" s="4" t="n">
        <v>39264</v>
      </c>
      <c r="B32" s="1" t="n">
        <f aca="false">Data!C32-Data!$B32</f>
        <v>-0.0348481433318883</v>
      </c>
      <c r="C32" s="1" t="n">
        <f aca="false">Data!D32-Data!$B32</f>
        <v>-0.0338018667103324</v>
      </c>
      <c r="D32" s="1" t="n">
        <f aca="false">Data!E32-Data!$B32</f>
        <v>-0.0401362056984018</v>
      </c>
      <c r="E32" s="1" t="n">
        <f aca="false">Data!F32-Data!$B32</f>
        <v>0.0069420674826528</v>
      </c>
      <c r="F32" s="1" t="n">
        <f aca="false">Data!G32-Data!$B32</f>
        <v>0.0119235668789808</v>
      </c>
      <c r="H32" s="1" t="n">
        <f aca="false">0.5*D32 + 0.5*F32</f>
        <v>-0.0141063194097105</v>
      </c>
    </row>
    <row r="33" customFormat="false" ht="13.8" hidden="false" customHeight="false" outlineLevel="0" collapsed="false">
      <c r="A33" s="4" t="n">
        <v>39295</v>
      </c>
      <c r="B33" s="1" t="n">
        <f aca="false">Data!C33-Data!$B33</f>
        <v>0.0107832277301527</v>
      </c>
      <c r="C33" s="1" t="n">
        <f aca="false">Data!D33-Data!$B33</f>
        <v>0.0165594936708859</v>
      </c>
      <c r="D33" s="1" t="n">
        <f aca="false">Data!E33-Data!$B33</f>
        <v>0.0195923576063446</v>
      </c>
      <c r="E33" s="1" t="n">
        <f aca="false">Data!F33-Data!$B33</f>
        <v>0.00370471699493422</v>
      </c>
      <c r="F33" s="1" t="n">
        <f aca="false">Data!G33-Data!$B33</f>
        <v>0.000502194357366851</v>
      </c>
      <c r="H33" s="1" t="n">
        <f aca="false">0.5*D33 + 0.5*F33</f>
        <v>0.0100472759818557</v>
      </c>
    </row>
    <row r="34" customFormat="false" ht="13.8" hidden="false" customHeight="false" outlineLevel="0" collapsed="false">
      <c r="A34" s="4" t="n">
        <v>39326</v>
      </c>
      <c r="B34" s="1" t="n">
        <f aca="false">Data!C34-Data!$B34</f>
        <v>0.0340394945289274</v>
      </c>
      <c r="C34" s="1" t="n">
        <f aca="false">Data!D34-Data!$B34</f>
        <v>0.0445843915343916</v>
      </c>
      <c r="D34" s="1" t="n">
        <f aca="false">Data!E34-Data!$B34</f>
        <v>0.0308074408716451</v>
      </c>
      <c r="E34" s="1" t="n">
        <f aca="false">Data!F34-Data!$B34</f>
        <v>0.0136965394813319</v>
      </c>
      <c r="F34" s="1" t="n">
        <f aca="false">Data!G34-Data!$B34</f>
        <v>-0.018020592823713</v>
      </c>
      <c r="H34" s="1" t="n">
        <f aca="false">0.5*D34 + 0.5*F34</f>
        <v>0.00639342402396605</v>
      </c>
    </row>
    <row r="35" customFormat="false" ht="13.8" hidden="false" customHeight="false" outlineLevel="0" collapsed="false">
      <c r="A35" s="4" t="n">
        <v>39356</v>
      </c>
      <c r="B35" s="1" t="n">
        <f aca="false">Data!C35-Data!$B35</f>
        <v>0.0125883507574141</v>
      </c>
      <c r="C35" s="1" t="n">
        <f aca="false">Data!D35-Data!$B35</f>
        <v>0.0356196307400979</v>
      </c>
      <c r="D35" s="1" t="n">
        <f aca="false">Data!E35-Data!$B35</f>
        <v>0.0592142661179699</v>
      </c>
      <c r="E35" s="1" t="n">
        <f aca="false">Data!F35-Data!$B35</f>
        <v>0.00268145766932269</v>
      </c>
      <c r="F35" s="1" t="n">
        <f aca="false">Data!G35-Data!$B35</f>
        <v>0.0070929532858274</v>
      </c>
      <c r="H35" s="1" t="n">
        <f aca="false">0.5*D35 + 0.5*F35</f>
        <v>0.0331536097018987</v>
      </c>
    </row>
    <row r="36" customFormat="false" ht="13.8" hidden="false" customHeight="false" outlineLevel="0" collapsed="false">
      <c r="A36" s="4" t="n">
        <v>39387</v>
      </c>
      <c r="B36" s="1" t="n">
        <f aca="false">Data!C36-Data!$B36</f>
        <v>-0.0452679549114333</v>
      </c>
      <c r="C36" s="1" t="n">
        <f aca="false">Data!D36-Data!$B36</f>
        <v>-0.0556558104207808</v>
      </c>
      <c r="D36" s="1" t="n">
        <f aca="false">Data!E36-Data!$B36</f>
        <v>-0.00275442220787607</v>
      </c>
      <c r="E36" s="1" t="n">
        <f aca="false">Data!F36-Data!$B36</f>
        <v>0.0121025094075545</v>
      </c>
      <c r="F36" s="1" t="n">
        <f aca="false">Data!G36-Data!$B36</f>
        <v>0.0337023464796394</v>
      </c>
      <c r="H36" s="1" t="n">
        <f aca="false">0.5*D36 + 0.5*F36</f>
        <v>0.0154739621358817</v>
      </c>
    </row>
    <row r="37" customFormat="false" ht="13.8" hidden="false" customHeight="false" outlineLevel="0" collapsed="false">
      <c r="A37" s="4" t="n">
        <v>39417</v>
      </c>
      <c r="B37" s="1" t="n">
        <f aca="false">Data!C37-Data!$B37</f>
        <v>-0.00969968487094038</v>
      </c>
      <c r="C37" s="1" t="n">
        <f aca="false">Data!D37-Data!$B37</f>
        <v>-0.0644086071485815</v>
      </c>
      <c r="D37" s="1" t="n">
        <f aca="false">Data!E37-Data!$B37</f>
        <v>0.00213658536585385</v>
      </c>
      <c r="E37" s="1" t="n">
        <f aca="false">Data!F37-Data!$B37</f>
        <v>0.00164590567430071</v>
      </c>
      <c r="F37" s="1" t="n">
        <f aca="false">Data!G37-Data!$B37</f>
        <v>0.0356048084759576</v>
      </c>
      <c r="H37" s="1" t="n">
        <f aca="false">0.5*D37 + 0.5*F37</f>
        <v>0.0188706969209057</v>
      </c>
    </row>
    <row r="38" customFormat="false" ht="13.8" hidden="false" customHeight="false" outlineLevel="0" collapsed="false">
      <c r="A38" s="4" t="n">
        <v>39448</v>
      </c>
      <c r="B38" s="1" t="n">
        <f aca="false">Data!C38-Data!$B38</f>
        <v>-0.0622553829078803</v>
      </c>
      <c r="C38" s="1" t="n">
        <f aca="false">Data!D38-Data!$B38</f>
        <v>-0.031139972668261</v>
      </c>
      <c r="D38" s="1" t="n">
        <f aca="false">Data!E38-Data!$B38</f>
        <v>-0.069942605156038</v>
      </c>
      <c r="E38" s="1" t="n">
        <f aca="false">Data!F38-Data!$B38</f>
        <v>0.0193590302176063</v>
      </c>
      <c r="F38" s="1" t="n">
        <f aca="false">Data!G38-Data!$B38</f>
        <v>-0.0264328100470958</v>
      </c>
      <c r="H38" s="1" t="n">
        <f aca="false">0.5*D38 + 0.5*F38</f>
        <v>-0.0481877076015669</v>
      </c>
    </row>
    <row r="39" customFormat="false" ht="13.8" hidden="false" customHeight="false" outlineLevel="0" collapsed="false">
      <c r="A39" s="4" t="n">
        <v>39479</v>
      </c>
      <c r="B39" s="1" t="n">
        <f aca="false">Data!C39-Data!$B39</f>
        <v>-0.0338145646354904</v>
      </c>
      <c r="C39" s="1" t="n">
        <f aca="false">Data!D39-Data!$B39</f>
        <v>-0.0301529204785363</v>
      </c>
      <c r="D39" s="1" t="n">
        <f aca="false">Data!E39-Data!$B39</f>
        <v>-0.0500627365356623</v>
      </c>
      <c r="E39" s="1" t="n">
        <f aca="false">Data!F39-Data!$B39</f>
        <v>0.00372543501749275</v>
      </c>
      <c r="F39" s="1" t="n">
        <f aca="false">Data!G39-Data!$B39</f>
        <v>-0.000495494770716008</v>
      </c>
      <c r="H39" s="1" t="n">
        <f aca="false">0.5*D39 + 0.5*F39</f>
        <v>-0.0252791156531892</v>
      </c>
    </row>
    <row r="40" customFormat="false" ht="13.8" hidden="false" customHeight="false" outlineLevel="0" collapsed="false">
      <c r="A40" s="4" t="n">
        <v>39508</v>
      </c>
      <c r="B40" s="1" t="n">
        <f aca="false">Data!C40-Data!$B40</f>
        <v>-0.00610497722519906</v>
      </c>
      <c r="C40" s="1" t="n">
        <f aca="false">Data!D40-Data!$B40</f>
        <v>-0.0192724637681161</v>
      </c>
      <c r="D40" s="1" t="n">
        <f aca="false">Data!E40-Data!$B40</f>
        <v>0.0098946260483633</v>
      </c>
      <c r="E40" s="1" t="n">
        <f aca="false">Data!F40-Data!$B40</f>
        <v>-0.014949219528613</v>
      </c>
      <c r="F40" s="1" t="n">
        <f aca="false">Data!G40-Data!$B40</f>
        <v>-0.000896141479099742</v>
      </c>
      <c r="H40" s="1" t="n">
        <f aca="false">0.5*D40 + 0.5*F40</f>
        <v>0.00449924228463178</v>
      </c>
    </row>
    <row r="41" customFormat="false" ht="13.8" hidden="false" customHeight="false" outlineLevel="0" collapsed="false">
      <c r="A41" s="4" t="n">
        <v>39539</v>
      </c>
      <c r="B41" s="1" t="n">
        <f aca="false">Data!C41-Data!$B41</f>
        <v>0.0467420944558521</v>
      </c>
      <c r="C41" s="1" t="n">
        <f aca="false">Data!D41-Data!$B41</f>
        <v>0.00705118937857277</v>
      </c>
      <c r="D41" s="1" t="n">
        <f aca="false">Data!E41-Data!$B41</f>
        <v>0.0492670731707317</v>
      </c>
      <c r="E41" s="1" t="n">
        <f aca="false">Data!F41-Data!$B41</f>
        <v>0.00023155818540424</v>
      </c>
      <c r="F41" s="1" t="n">
        <f aca="false">Data!G41-Data!$B41</f>
        <v>-0.0114385542168674</v>
      </c>
      <c r="H41" s="1" t="n">
        <f aca="false">0.5*D41 + 0.5*F41</f>
        <v>0.0189142594769321</v>
      </c>
    </row>
    <row r="42" customFormat="false" ht="13.8" hidden="false" customHeight="false" outlineLevel="0" collapsed="false">
      <c r="A42" s="4" t="n">
        <v>39569</v>
      </c>
      <c r="B42" s="1" t="n">
        <f aca="false">Data!C42-Data!$B42</f>
        <v>0.0111249569168104</v>
      </c>
      <c r="C42" s="1" t="n">
        <f aca="false">Data!D42-Data!$B42</f>
        <v>0.0422504478157557</v>
      </c>
      <c r="D42" s="1" t="n">
        <f aca="false">Data!E42-Data!$B42</f>
        <v>0.0301071791153009</v>
      </c>
      <c r="E42" s="1" t="n">
        <f aca="false">Data!F42-Data!$B42</f>
        <v>-0.00167166831194507</v>
      </c>
      <c r="F42" s="1" t="n">
        <f aca="false">Data!G42-Data!$B42</f>
        <v>0.0095544201135443</v>
      </c>
      <c r="H42" s="1" t="n">
        <f aca="false">0.5*D42 + 0.5*F42</f>
        <v>0.0198307996144226</v>
      </c>
    </row>
    <row r="43" customFormat="false" ht="13.8" hidden="false" customHeight="false" outlineLevel="0" collapsed="false">
      <c r="A43" s="4" t="n">
        <v>39600</v>
      </c>
      <c r="B43" s="1" t="n">
        <f aca="false">Data!C43-Data!$B43</f>
        <v>-0.0860817138992673</v>
      </c>
      <c r="C43" s="1" t="n">
        <f aca="false">Data!D43-Data!$B43</f>
        <v>0.00687843137254899</v>
      </c>
      <c r="D43" s="1" t="n">
        <f aca="false">Data!E43-Data!$B43</f>
        <v>-0.0227931209271557</v>
      </c>
      <c r="E43" s="1" t="n">
        <f aca="false">Data!F43-Data!$B43</f>
        <v>-0.00790792079207921</v>
      </c>
      <c r="F43" s="1" t="n">
        <f aca="false">Data!G43-Data!$B43</f>
        <v>0.0095372010971815</v>
      </c>
      <c r="H43" s="1" t="n">
        <f aca="false">0.5*D43 + 0.5*F43</f>
        <v>-0.0066279599149871</v>
      </c>
    </row>
    <row r="44" customFormat="false" ht="13.8" hidden="false" customHeight="false" outlineLevel="0" collapsed="false">
      <c r="A44" s="4" t="n">
        <v>39630</v>
      </c>
      <c r="B44" s="1" t="n">
        <f aca="false">Data!C44-Data!$B44</f>
        <v>-0.00981706696087586</v>
      </c>
      <c r="C44" s="1" t="n">
        <f aca="false">Data!D44-Data!$B44</f>
        <v>0.132157351154314</v>
      </c>
      <c r="D44" s="1" t="n">
        <f aca="false">Data!E44-Data!$B44</f>
        <v>-0.043437816341287</v>
      </c>
      <c r="E44" s="1" t="n">
        <f aca="false">Data!F44-Data!$B44</f>
        <v>-0.00552000000000002</v>
      </c>
      <c r="F44" s="1" t="n">
        <f aca="false">Data!G44-Data!$B44</f>
        <v>-0.00868276137270546</v>
      </c>
      <c r="H44" s="1" t="n">
        <f aca="false">0.5*D44 + 0.5*F44</f>
        <v>-0.0260602888569962</v>
      </c>
    </row>
    <row r="45" customFormat="false" ht="13.8" hidden="false" customHeight="false" outlineLevel="0" collapsed="false">
      <c r="A45" s="4" t="n">
        <v>39661</v>
      </c>
      <c r="B45" s="1" t="n">
        <f aca="false">Data!C45-Data!$B45</f>
        <v>0.0131629867351307</v>
      </c>
      <c r="C45" s="1" t="n">
        <f aca="false">Data!D45-Data!$B45</f>
        <v>-0.0152335476956055</v>
      </c>
      <c r="D45" s="1" t="n">
        <f aca="false">Data!E45-Data!$B45</f>
        <v>-0.00507358490566038</v>
      </c>
      <c r="E45" s="1" t="n">
        <f aca="false">Data!F45-Data!$B45</f>
        <v>0.00273826787512585</v>
      </c>
      <c r="F45" s="1" t="n">
        <f aca="false">Data!G45-Data!$B45</f>
        <v>-0.00933858520900314</v>
      </c>
      <c r="H45" s="1" t="n">
        <f aca="false">0.5*D45 + 0.5*F45</f>
        <v>-0.00720608505733176</v>
      </c>
    </row>
    <row r="46" customFormat="false" ht="13.8" hidden="false" customHeight="false" outlineLevel="0" collapsed="false">
      <c r="A46" s="4" t="n">
        <v>39692</v>
      </c>
      <c r="B46" s="1" t="n">
        <f aca="false">Data!C46-Data!$B46</f>
        <v>-0.0905607109242253</v>
      </c>
      <c r="C46" s="1" t="n">
        <f aca="false">Data!D46-Data!$B46</f>
        <v>-0.0696677018633542</v>
      </c>
      <c r="D46" s="1" t="n">
        <f aca="false">Data!E46-Data!$B46</f>
        <v>-0.0914267579267579</v>
      </c>
      <c r="E46" s="1" t="n">
        <f aca="false">Data!F46-Data!$B46</f>
        <v>-0.0403732394366197</v>
      </c>
      <c r="F46" s="1" t="n">
        <f aca="false">Data!G46-Data!$B46</f>
        <v>-0.0177074554294975</v>
      </c>
      <c r="H46" s="1" t="n">
        <f aca="false">0.5*D46 + 0.5*F46</f>
        <v>-0.0545671066781277</v>
      </c>
    </row>
    <row r="47" customFormat="false" ht="13.8" hidden="false" customHeight="false" outlineLevel="0" collapsed="false">
      <c r="A47" s="4" t="n">
        <v>39722</v>
      </c>
      <c r="B47" s="1" t="n">
        <f aca="false">Data!C47-Data!$B47</f>
        <v>-0.168724001117631</v>
      </c>
      <c r="C47" s="1" t="n">
        <f aca="false">Data!D47-Data!$B47</f>
        <v>-0.117780503249458</v>
      </c>
      <c r="D47" s="1" t="n">
        <f aca="false">Data!E47-Data!$B47</f>
        <v>-0.114055033557047</v>
      </c>
      <c r="E47" s="1" t="n">
        <f aca="false">Data!F47-Data!$B47</f>
        <v>-0.003489075630252</v>
      </c>
      <c r="F47" s="1" t="n">
        <f aca="false">Data!G47-Data!$B47</f>
        <v>-0.0255116968698518</v>
      </c>
      <c r="H47" s="1" t="n">
        <f aca="false">0.5*D47 + 0.5*F47</f>
        <v>-0.0697833652134494</v>
      </c>
    </row>
    <row r="48" customFormat="false" ht="13.8" hidden="false" customHeight="false" outlineLevel="0" collapsed="false">
      <c r="A48" s="4" t="n">
        <v>39753</v>
      </c>
      <c r="B48" s="1" t="n">
        <f aca="false">Data!C48-Data!$B48</f>
        <v>-0.072048376986792</v>
      </c>
      <c r="C48" s="1" t="n">
        <f aca="false">Data!D48-Data!$B48</f>
        <v>-0.0705019248914889</v>
      </c>
      <c r="D48" s="1" t="n">
        <f aca="false">Data!E48-Data!$B48</f>
        <v>0.0271361400189214</v>
      </c>
      <c r="E48" s="1" t="n">
        <f aca="false">Data!F48-Data!$B48</f>
        <v>-0.0155642706131081</v>
      </c>
      <c r="F48" s="1" t="n">
        <f aca="false">Data!G48-Data!$B48</f>
        <v>-0.0349283783783784</v>
      </c>
      <c r="H48" s="1" t="n">
        <f aca="false">0.5*D48 + 0.5*F48</f>
        <v>-0.0038961191797285</v>
      </c>
    </row>
    <row r="49" customFormat="false" ht="13.8" hidden="false" customHeight="false" outlineLevel="0" collapsed="false">
      <c r="A49" s="4" t="n">
        <v>39783</v>
      </c>
      <c r="B49" s="1" t="n">
        <f aca="false">Data!C49-Data!$B49</f>
        <v>0.010671087174476</v>
      </c>
      <c r="C49" s="1" t="n">
        <f aca="false">Data!D49-Data!$B49</f>
        <v>0.0617008321493811</v>
      </c>
      <c r="D49" s="1" t="n">
        <f aca="false">Data!E49-Data!$B49</f>
        <v>-0.0127993003320834</v>
      </c>
      <c r="E49" s="1" t="n">
        <f aca="false">Data!F49-Data!$B49</f>
        <v>0.0329106649444009</v>
      </c>
      <c r="F49" s="1" t="n">
        <f aca="false">Data!G49-Data!$B49</f>
        <v>0.0162214923498865</v>
      </c>
      <c r="H49" s="1" t="n">
        <f aca="false">0.5*D49 + 0.5*F49</f>
        <v>0.00171109600890155</v>
      </c>
    </row>
    <row r="50" customFormat="false" ht="13.8" hidden="false" customHeight="false" outlineLevel="0" collapsed="false">
      <c r="A50" s="4" t="n">
        <v>39814</v>
      </c>
      <c r="B50" s="1" t="n">
        <f aca="false">Data!C50-Data!$B50</f>
        <v>-0.0841256468889158</v>
      </c>
      <c r="C50" s="1" t="n">
        <f aca="false">Data!D50-Data!$B50</f>
        <v>0.016058115083158</v>
      </c>
      <c r="D50" s="1" t="n">
        <f aca="false">Data!E50-Data!$B50</f>
        <v>-0.0104562737642585</v>
      </c>
      <c r="E50" s="1" t="n">
        <f aca="false">Data!F50-Data!$B50</f>
        <v>0.00744161358811035</v>
      </c>
      <c r="F50" s="1" t="n">
        <f aca="false">Data!G50-Data!$B50</f>
        <v>-0.0127620783956245</v>
      </c>
      <c r="H50" s="1" t="n">
        <f aca="false">0.5*D50 + 0.5*F50</f>
        <v>-0.0116091760799415</v>
      </c>
    </row>
    <row r="51" customFormat="false" ht="13.8" hidden="false" customHeight="false" outlineLevel="0" collapsed="false">
      <c r="A51" s="4" t="n">
        <v>39845</v>
      </c>
      <c r="B51" s="1" t="n">
        <f aca="false">Data!C51-Data!$B51</f>
        <v>-0.106670302233903</v>
      </c>
      <c r="C51" s="1" t="n">
        <f aca="false">Data!D51-Data!$B51</f>
        <v>-0.0794979303857009</v>
      </c>
      <c r="D51" s="1" t="n">
        <f aca="false">Data!E51-Data!$B51</f>
        <v>-0.11921623439001</v>
      </c>
      <c r="E51" s="1" t="n">
        <f aca="false">Data!F51-Data!$B51</f>
        <v>-0.0182183932346725</v>
      </c>
      <c r="F51" s="1" t="n">
        <f aca="false">Data!G51-Data!$B51</f>
        <v>-0.0241073868882733</v>
      </c>
      <c r="H51" s="1" t="n">
        <f aca="false">0.5*D51 + 0.5*F51</f>
        <v>-0.0716618106391417</v>
      </c>
    </row>
    <row r="52" customFormat="false" ht="13.8" hidden="false" customHeight="false" outlineLevel="0" collapsed="false">
      <c r="A52" s="4" t="n">
        <v>39873</v>
      </c>
      <c r="B52" s="1" t="n">
        <f aca="false">Data!C52-Data!$B52</f>
        <v>0.0874004422853538</v>
      </c>
      <c r="C52" s="1" t="n">
        <f aca="false">Data!D52-Data!$B52</f>
        <v>0.059068342530145</v>
      </c>
      <c r="D52" s="1" t="n">
        <f aca="false">Data!E52-Data!$B52</f>
        <v>0.024620290536552</v>
      </c>
      <c r="E52" s="1" t="n">
        <f aca="false">Data!F52-Data!$B52</f>
        <v>0.00755377969762414</v>
      </c>
      <c r="F52" s="1" t="n">
        <f aca="false">Data!G52-Data!$B52</f>
        <v>-0.0302806945294674</v>
      </c>
      <c r="H52" s="1" t="n">
        <f aca="false">0.5*D52 + 0.5*F52</f>
        <v>-0.0028302019964577</v>
      </c>
    </row>
    <row r="53" customFormat="false" ht="13.8" hidden="false" customHeight="false" outlineLevel="0" collapsed="false">
      <c r="A53" s="4" t="n">
        <v>39904</v>
      </c>
      <c r="B53" s="1" t="n">
        <f aca="false">Data!C53-Data!$B53</f>
        <v>0.0954882352941175</v>
      </c>
      <c r="C53" s="1" t="n">
        <f aca="false">Data!D53-Data!$B53</f>
        <v>-0.0406170750530581</v>
      </c>
      <c r="D53" s="1" t="n">
        <f aca="false">Data!E53-Data!$B53</f>
        <v>0.0192756727664156</v>
      </c>
      <c r="E53" s="1" t="n">
        <f aca="false">Data!F53-Data!$B53</f>
        <v>0.026738709677419</v>
      </c>
      <c r="F53" s="1" t="n">
        <f aca="false">Data!G53-Data!$B53</f>
        <v>-0.0293968750000001</v>
      </c>
      <c r="H53" s="1" t="n">
        <f aca="false">0.5*D53 + 0.5*F53</f>
        <v>-0.00506060111679225</v>
      </c>
    </row>
    <row r="54" customFormat="false" ht="13.8" hidden="false" customHeight="false" outlineLevel="0" collapsed="false">
      <c r="A54" s="4" t="n">
        <v>39934</v>
      </c>
      <c r="B54" s="1" t="n">
        <f aca="false">Data!C54-Data!$B54</f>
        <v>0.0561769823514791</v>
      </c>
      <c r="C54" s="1" t="n">
        <f aca="false">Data!D54-Data!$B54</f>
        <v>0.0291574502312488</v>
      </c>
      <c r="D54" s="1" t="n">
        <f aca="false">Data!E54-Data!$B54</f>
        <v>0.0348468848996832</v>
      </c>
      <c r="E54" s="1" t="n">
        <f aca="false">Data!F54-Data!$B54</f>
        <v>0.0335819327731093</v>
      </c>
      <c r="F54" s="1" t="n">
        <f aca="false">Data!G54-Data!$B54</f>
        <v>-0.0150905432595574</v>
      </c>
      <c r="H54" s="1" t="n">
        <f aca="false">0.5*D54 + 0.5*F54</f>
        <v>0.0098781708200629</v>
      </c>
    </row>
    <row r="55" customFormat="false" ht="13.8" hidden="false" customHeight="false" outlineLevel="0" collapsed="false">
      <c r="A55" s="4" t="n">
        <v>39965</v>
      </c>
      <c r="B55" s="1" t="n">
        <f aca="false">Data!C55-Data!$B55</f>
        <v>0.00209960160119848</v>
      </c>
      <c r="C55" s="1" t="n">
        <f aca="false">Data!D55-Data!$B55</f>
        <v>0.0503103165298944</v>
      </c>
      <c r="D55" s="1" t="n">
        <f aca="false">Data!E55-Data!$B55</f>
        <v>0.0526979428244245</v>
      </c>
      <c r="E55" s="1" t="n">
        <f aca="false">Data!F55-Data!$B55</f>
        <v>0.00812629969418953</v>
      </c>
      <c r="F55" s="1" t="n">
        <f aca="false">Data!G55-Data!$B55</f>
        <v>0.0142003064351379</v>
      </c>
      <c r="H55" s="1" t="n">
        <f aca="false">0.5*D55 + 0.5*F55</f>
        <v>0.0334491246297812</v>
      </c>
    </row>
    <row r="56" customFormat="false" ht="13.8" hidden="false" customHeight="false" outlineLevel="0" collapsed="false">
      <c r="A56" s="4" t="n">
        <v>39995</v>
      </c>
      <c r="B56" s="1" t="n">
        <f aca="false">Data!C56-Data!$B56</f>
        <v>0.0756790368271956</v>
      </c>
      <c r="C56" s="1" t="n">
        <f aca="false">Data!D56-Data!$B56</f>
        <v>0.0806291666666667</v>
      </c>
      <c r="D56" s="1" t="n">
        <f aca="false">Data!E56-Data!$B56</f>
        <v>0.0410361410381979</v>
      </c>
      <c r="E56" s="1" t="n">
        <f aca="false">Data!F56-Data!$B56</f>
        <v>0.0184919574036513</v>
      </c>
      <c r="F56" s="1" t="n">
        <f aca="false">Data!G56-Data!$B56</f>
        <v>-0.013191641490433</v>
      </c>
      <c r="H56" s="1" t="n">
        <f aca="false">0.5*D56 + 0.5*F56</f>
        <v>0.0139222497738824</v>
      </c>
    </row>
    <row r="57" customFormat="false" ht="13.8" hidden="false" customHeight="false" outlineLevel="0" collapsed="false">
      <c r="A57" s="4" t="n">
        <v>40026</v>
      </c>
      <c r="B57" s="1" t="n">
        <f aca="false">Data!C57-Data!$B57</f>
        <v>0.0358885889839806</v>
      </c>
      <c r="C57" s="1" t="n">
        <f aca="false">Data!D57-Data!$B57</f>
        <v>-0.00836161790017221</v>
      </c>
      <c r="D57" s="1" t="n">
        <f aca="false">Data!E57-Data!$B57</f>
        <v>0.0121295390404514</v>
      </c>
      <c r="E57" s="1" t="n">
        <f aca="false">Data!F57-Data!$B57</f>
        <v>0.0158233666333669</v>
      </c>
      <c r="F57" s="1" t="n">
        <f aca="false">Data!G57-Data!$B57</f>
        <v>-0.00112040816326543</v>
      </c>
      <c r="H57" s="1" t="n">
        <f aca="false">0.5*D57 + 0.5*F57</f>
        <v>0.00550456543859299</v>
      </c>
    </row>
    <row r="58" customFormat="false" ht="13.8" hidden="false" customHeight="false" outlineLevel="0" collapsed="false">
      <c r="A58" s="4" t="n">
        <v>40057</v>
      </c>
      <c r="B58" s="1" t="n">
        <f aca="false">Data!C58-Data!$B58</f>
        <v>0.0370678959247073</v>
      </c>
      <c r="C58" s="1" t="n">
        <f aca="false">Data!D58-Data!$B58</f>
        <v>0.0304449496702535</v>
      </c>
      <c r="D58" s="1" t="n">
        <f aca="false">Data!E58-Data!$B58</f>
        <v>0.00796596400811088</v>
      </c>
      <c r="E58" s="1" t="n">
        <f aca="false">Data!F58-Data!$B58</f>
        <v>0.00919956607495086</v>
      </c>
      <c r="F58" s="1" t="n">
        <f aca="false">Data!G58-Data!$B58</f>
        <v>-0.00827160367722147</v>
      </c>
      <c r="H58" s="1" t="n">
        <f aca="false">0.5*D58 + 0.5*F58</f>
        <v>-0.000152819834555294</v>
      </c>
    </row>
    <row r="59" customFormat="false" ht="13.8" hidden="false" customHeight="false" outlineLevel="0" collapsed="false">
      <c r="A59" s="4" t="n">
        <v>40087</v>
      </c>
      <c r="B59" s="1" t="n">
        <f aca="false">Data!C59-Data!$B59</f>
        <v>-0.0186762442278092</v>
      </c>
      <c r="C59" s="1" t="n">
        <f aca="false">Data!D59-Data!$B59</f>
        <v>-0.0874031660491749</v>
      </c>
      <c r="D59" s="1" t="n">
        <f aca="false">Data!E59-Data!$B59</f>
        <v>-0.0242085661080075</v>
      </c>
      <c r="E59" s="1" t="n">
        <f aca="false">Data!F59-Data!$B59</f>
        <v>0.00883538687561214</v>
      </c>
      <c r="F59" s="1" t="n">
        <f aca="false">Data!G59-Data!$B59</f>
        <v>-0.00102986611740485</v>
      </c>
      <c r="H59" s="1" t="n">
        <f aca="false">0.5*D59 + 0.5*F59</f>
        <v>-0.0126192161127062</v>
      </c>
    </row>
    <row r="60" customFormat="false" ht="13.8" hidden="false" customHeight="false" outlineLevel="0" collapsed="false">
      <c r="A60" s="4" t="n">
        <v>40118</v>
      </c>
      <c r="B60" s="1" t="n">
        <f aca="false">Data!C60-Data!$B60</f>
        <v>0.0598138659416501</v>
      </c>
      <c r="C60" s="1" t="n">
        <f aca="false">Data!D60-Data!$B60</f>
        <v>0.0481638678723011</v>
      </c>
      <c r="D60" s="1" t="n">
        <f aca="false">Data!E60-Data!$B60</f>
        <v>0.0477099236641221</v>
      </c>
      <c r="E60" s="1" t="n">
        <f aca="false">Data!F60-Data!$B60</f>
        <v>0.00659646887159537</v>
      </c>
      <c r="F60" s="1" t="n">
        <f aca="false">Data!G60-Data!$B60</f>
        <v>-0.00206185567010309</v>
      </c>
      <c r="H60" s="1" t="n">
        <f aca="false">0.5*D60 + 0.5*F60</f>
        <v>0.0228240339970095</v>
      </c>
    </row>
    <row r="61" customFormat="false" ht="13.8" hidden="false" customHeight="false" outlineLevel="0" collapsed="false">
      <c r="A61" s="4" t="n">
        <v>40148</v>
      </c>
      <c r="B61" s="1" t="n">
        <f aca="false">Data!C61-Data!$B61</f>
        <v>0.0193549888992579</v>
      </c>
      <c r="C61" s="1" t="n">
        <f aca="false">Data!D61-Data!$B61</f>
        <v>0.0298295774647888</v>
      </c>
      <c r="D61" s="1" t="n">
        <f aca="false">Data!E61-Data!$B61</f>
        <v>0.0562344034189064</v>
      </c>
      <c r="E61" s="1" t="n">
        <f aca="false">Data!F61-Data!$B61</f>
        <v>-0.00171253131810313</v>
      </c>
      <c r="F61" s="1" t="n">
        <f aca="false">Data!G61-Data!$B61</f>
        <v>0.00299917355371914</v>
      </c>
      <c r="H61" s="1" t="n">
        <f aca="false">0.5*D61 + 0.5*F61</f>
        <v>0.0296167884863128</v>
      </c>
    </row>
    <row r="62" customFormat="false" ht="13.8" hidden="false" customHeight="false" outlineLevel="0" collapsed="false">
      <c r="A62" s="4" t="n">
        <v>40179</v>
      </c>
      <c r="B62" s="1" t="n">
        <f aca="false">Data!C62-Data!$B62</f>
        <v>-0.0360377909808124</v>
      </c>
      <c r="C62" s="1" t="n">
        <f aca="false">Data!D62-Data!$B62</f>
        <v>0.0232478632478632</v>
      </c>
      <c r="D62" s="1" t="n">
        <f aca="false">Data!E62-Data!$B62</f>
        <v>-0.0460584588131089</v>
      </c>
      <c r="E62" s="1" t="n">
        <f aca="false">Data!F62-Data!$B62</f>
        <v>0.00991711370262416</v>
      </c>
      <c r="F62" s="1" t="n">
        <f aca="false">Data!G62-Data!$B62</f>
        <v>0.00102986611740463</v>
      </c>
      <c r="H62" s="1" t="n">
        <f aca="false">0.5*D62 + 0.5*F62</f>
        <v>-0.0225142963478521</v>
      </c>
    </row>
    <row r="63" customFormat="false" ht="13.8" hidden="false" customHeight="false" outlineLevel="0" collapsed="false">
      <c r="A63" s="4" t="n">
        <v>40210</v>
      </c>
      <c r="B63" s="1" t="n">
        <f aca="false">Data!C63-Data!$B63</f>
        <v>0.0309184601394361</v>
      </c>
      <c r="C63" s="1" t="n">
        <f aca="false">Data!D63-Data!$B63</f>
        <v>0.0165385900434347</v>
      </c>
      <c r="D63" s="1" t="n">
        <f aca="false">Data!E63-Data!$B63</f>
        <v>-0.0102135561745589</v>
      </c>
      <c r="E63" s="1" t="n">
        <f aca="false">Data!F63-Data!$B63</f>
        <v>0.00306235067437388</v>
      </c>
      <c r="F63" s="1" t="n">
        <f aca="false">Data!G63-Data!$B63</f>
        <v>0.0133744855967077</v>
      </c>
      <c r="H63" s="1" t="n">
        <f aca="false">0.5*D63 + 0.5*F63</f>
        <v>0.0015804647110744</v>
      </c>
    </row>
    <row r="64" customFormat="false" ht="13.8" hidden="false" customHeight="false" outlineLevel="0" collapsed="false">
      <c r="A64" s="4" t="n">
        <v>40238</v>
      </c>
      <c r="B64" s="1" t="n">
        <f aca="false">Data!C64-Data!$B64</f>
        <v>0.0600355008366706</v>
      </c>
      <c r="C64" s="1" t="n">
        <f aca="false">Data!D64-Data!$B64</f>
        <v>0.057418488085456</v>
      </c>
      <c r="D64" s="1" t="n">
        <f aca="false">Data!E64-Data!$B64</f>
        <v>0.0324762997374766</v>
      </c>
      <c r="E64" s="1" t="n">
        <f aca="false">Data!F64-Data!$B64</f>
        <v>0.00509586538461536</v>
      </c>
      <c r="F64" s="1" t="n">
        <f aca="false">Data!G64-Data!$B64</f>
        <v>-0.0001</v>
      </c>
      <c r="H64" s="1" t="n">
        <f aca="false">0.5*D64 + 0.5*F64</f>
        <v>0.0161881498687383</v>
      </c>
    </row>
    <row r="65" customFormat="false" ht="13.8" hidden="false" customHeight="false" outlineLevel="0" collapsed="false">
      <c r="A65" s="4" t="n">
        <v>40269</v>
      </c>
      <c r="B65" s="1" t="n">
        <f aca="false">Data!C65-Data!$B65</f>
        <v>0.0156801912187878</v>
      </c>
      <c r="C65" s="1" t="n">
        <f aca="false">Data!D65-Data!$B65</f>
        <v>0.0112442113442115</v>
      </c>
      <c r="D65" s="1" t="n">
        <f aca="false">Data!E65-Data!$B65</f>
        <v>0.0136614678899083</v>
      </c>
      <c r="E65" s="1" t="n">
        <f aca="false">Data!F65-Data!$B65</f>
        <v>0.00674190613026803</v>
      </c>
      <c r="F65" s="1" t="n">
        <f aca="false">Data!G65-Data!$B65</f>
        <v>-0.00720659898477162</v>
      </c>
      <c r="H65" s="1" t="n">
        <f aca="false">0.5*D65 + 0.5*F65</f>
        <v>0.00322743445256834</v>
      </c>
    </row>
    <row r="66" customFormat="false" ht="13.8" hidden="false" customHeight="false" outlineLevel="0" collapsed="false">
      <c r="A66" s="4" t="n">
        <v>40299</v>
      </c>
      <c r="B66" s="1" t="n">
        <f aca="false">Data!C66-Data!$B66</f>
        <v>-0.0801511742666545</v>
      </c>
      <c r="C66" s="1" t="n">
        <f aca="false">Data!D66-Data!$B66</f>
        <v>-0.111347695144438</v>
      </c>
      <c r="D66" s="1" t="n">
        <f aca="false">Data!E66-Data!$B66</f>
        <v>-0.0580185520361991</v>
      </c>
      <c r="E66" s="1" t="n">
        <f aca="false">Data!F66-Data!$B66</f>
        <v>-0.00659653333333333</v>
      </c>
      <c r="F66" s="1" t="n">
        <f aca="false">Data!G66-Data!$B66</f>
        <v>0.00807995910020453</v>
      </c>
      <c r="H66" s="1" t="n">
        <f aca="false">0.5*D66 + 0.5*F66</f>
        <v>-0.0249692964679973</v>
      </c>
    </row>
    <row r="67" customFormat="false" ht="13.8" hidden="false" customHeight="false" outlineLevel="0" collapsed="false">
      <c r="A67" s="4" t="n">
        <v>40330</v>
      </c>
      <c r="B67" s="1" t="n">
        <f aca="false">Data!C67-Data!$B67</f>
        <v>-0.0524945684403731</v>
      </c>
      <c r="C67" s="1" t="n">
        <f aca="false">Data!D67-Data!$B67</f>
        <v>-0.0438413554633472</v>
      </c>
      <c r="D67" s="1" t="n">
        <f aca="false">Data!E67-Data!$B67</f>
        <v>-0.00137148568759916</v>
      </c>
      <c r="E67" s="1" t="n">
        <f aca="false">Data!F67-Data!$B67</f>
        <v>0.00676473128598863</v>
      </c>
      <c r="F67" s="1" t="n">
        <f aca="false">Data!G67-Data!$B67</f>
        <v>-0.00821359026369174</v>
      </c>
      <c r="H67" s="1" t="n">
        <f aca="false">0.5*D67 + 0.5*F67</f>
        <v>-0.00479253797564545</v>
      </c>
    </row>
    <row r="68" customFormat="false" ht="13.8" hidden="false" customHeight="false" outlineLevel="0" collapsed="false">
      <c r="A68" s="4" t="n">
        <v>40360</v>
      </c>
      <c r="B68" s="1" t="n">
        <f aca="false">Data!C68-Data!$B68</f>
        <v>0.0698610156990833</v>
      </c>
      <c r="C68" s="1" t="n">
        <f aca="false">Data!D68-Data!$B68</f>
        <v>0.0649876875790996</v>
      </c>
      <c r="D68" s="1" t="n">
        <f aca="false">Data!E68-Data!$B68</f>
        <v>0.0718144800777454</v>
      </c>
      <c r="E68" s="1" t="n">
        <f aca="false">Data!F68-Data!$B68</f>
        <v>0.00775015267175582</v>
      </c>
      <c r="F68" s="1" t="n">
        <f aca="false">Data!G68-Data!$B68</f>
        <v>0.00296748466257689</v>
      </c>
      <c r="H68" s="1" t="n">
        <f aca="false">0.5*D68 + 0.5*F68</f>
        <v>0.0373909823701611</v>
      </c>
    </row>
    <row r="69" customFormat="false" ht="13.8" hidden="false" customHeight="false" outlineLevel="0" collapsed="false">
      <c r="A69" s="4" t="n">
        <v>40391</v>
      </c>
      <c r="B69" s="1" t="n">
        <f aca="false">Data!C69-Data!$B69</f>
        <v>-0.0453978828163466</v>
      </c>
      <c r="C69" s="1" t="n">
        <f aca="false">Data!D69-Data!$B69</f>
        <v>-0.0223373111526056</v>
      </c>
      <c r="D69" s="1" t="n">
        <f aca="false">Data!E69-Data!$B69</f>
        <v>0.0144058930190389</v>
      </c>
      <c r="E69" s="1" t="n">
        <f aca="false">Data!F69-Data!$B69</f>
        <v>0.00327744075829383</v>
      </c>
      <c r="F69" s="1" t="n">
        <f aca="false">Data!G69-Data!$B69</f>
        <v>-0.0123324159021408</v>
      </c>
      <c r="H69" s="1" t="n">
        <f aca="false">0.5*D69 + 0.5*F69</f>
        <v>0.00103673855844905</v>
      </c>
    </row>
    <row r="70" customFormat="false" ht="13.8" hidden="false" customHeight="false" outlineLevel="0" collapsed="false">
      <c r="A70" s="4" t="n">
        <v>40422</v>
      </c>
      <c r="B70" s="1" t="n">
        <f aca="false">Data!C70-Data!$B70</f>
        <v>0.0890889591585076</v>
      </c>
      <c r="C70" s="1" t="n">
        <f aca="false">Data!D70-Data!$B70</f>
        <v>0.0953861111111112</v>
      </c>
      <c r="D70" s="1" t="n">
        <f aca="false">Data!E70-Data!$B70</f>
        <v>0.0317158550022993</v>
      </c>
      <c r="E70" s="1" t="n">
        <f aca="false">Data!F70-Data!$B70</f>
        <v>0.0071083254493851</v>
      </c>
      <c r="F70" s="1" t="n">
        <f aca="false">Data!G70-Data!$B70</f>
        <v>0.00918792569659431</v>
      </c>
      <c r="H70" s="1" t="n">
        <f aca="false">0.5*D70 + 0.5*F70</f>
        <v>0.0204518903494468</v>
      </c>
    </row>
    <row r="71" customFormat="false" ht="13.8" hidden="false" customHeight="false" outlineLevel="0" collapsed="false">
      <c r="A71" s="4" t="n">
        <v>40452</v>
      </c>
      <c r="B71" s="1" t="n">
        <f aca="false">Data!C71-Data!$B71</f>
        <v>0.0377831144108129</v>
      </c>
      <c r="C71" s="1" t="n">
        <f aca="false">Data!D71-Data!$B71</f>
        <v>0.0244641838351822</v>
      </c>
      <c r="D71" s="1" t="n">
        <f aca="false">Data!E71-Data!$B71</f>
        <v>0.0191307692307694</v>
      </c>
      <c r="E71" s="1" t="n">
        <f aca="false">Data!F71-Data!$B71</f>
        <v>0.00915525870178734</v>
      </c>
      <c r="F71" s="1" t="n">
        <f aca="false">Data!G71-Data!$B71</f>
        <v>0.00194498977505119</v>
      </c>
      <c r="H71" s="1" t="n">
        <f aca="false">0.5*D71 + 0.5*F71</f>
        <v>0.0105378795029103</v>
      </c>
    </row>
    <row r="72" customFormat="false" ht="13.8" hidden="false" customHeight="false" outlineLevel="0" collapsed="false">
      <c r="A72" s="4" t="n">
        <v>40483</v>
      </c>
      <c r="B72" s="1" t="n">
        <f aca="false">Data!C72-Data!$B72</f>
        <v>-0.0001</v>
      </c>
      <c r="C72" s="1" t="n">
        <f aca="false">Data!D72-Data!$B72</f>
        <v>-0.00675119876256781</v>
      </c>
      <c r="D72" s="1" t="n">
        <f aca="false">Data!E72-Data!$B72</f>
        <v>-0.0266866209262436</v>
      </c>
      <c r="E72" s="1" t="n">
        <f aca="false">Data!F72-Data!$B72</f>
        <v>-0.00754427637721767</v>
      </c>
      <c r="F72" s="1" t="n">
        <f aca="false">Data!G72-Data!$B72</f>
        <v>0.00602244897959169</v>
      </c>
      <c r="H72" s="1" t="n">
        <f aca="false">0.5*D72 + 0.5*F72</f>
        <v>-0.010332085973326</v>
      </c>
    </row>
    <row r="73" customFormat="false" ht="13.8" hidden="false" customHeight="false" outlineLevel="0" collapsed="false">
      <c r="A73" s="4" t="n">
        <v>40513</v>
      </c>
      <c r="B73" s="1" t="n">
        <f aca="false">Data!C73-Data!$B73</f>
        <v>0.0666133794249737</v>
      </c>
      <c r="C73" s="1" t="n">
        <f aca="false">Data!D73-Data!$B73</f>
        <v>0.0682587667393335</v>
      </c>
      <c r="D73" s="1" t="n">
        <f aca="false">Data!E73-Data!$B73</f>
        <v>0.0319938864544227</v>
      </c>
      <c r="E73" s="1" t="n">
        <f aca="false">Data!F73-Data!$B73</f>
        <v>-0.000910969420699581</v>
      </c>
      <c r="F73" s="1" t="n">
        <f aca="false">Data!G73-Data!$B73</f>
        <v>-0.0254549695740365</v>
      </c>
      <c r="H73" s="1" t="n">
        <f aca="false">0.5*D73 + 0.5*F73</f>
        <v>0.0032694584401931</v>
      </c>
    </row>
    <row r="74" customFormat="false" ht="13.8" hidden="false" customHeight="false" outlineLevel="0" collapsed="false">
      <c r="A74" s="4" t="n">
        <v>40544</v>
      </c>
      <c r="B74" s="1" t="n">
        <f aca="false">Data!C74-Data!$B74</f>
        <v>0.0234710585391125</v>
      </c>
      <c r="C74" s="1" t="n">
        <f aca="false">Data!D74-Data!$B74</f>
        <v>-0.00505554583879909</v>
      </c>
      <c r="D74" s="1" t="n">
        <f aca="false">Data!E74-Data!$B74</f>
        <v>0.0111068965517242</v>
      </c>
      <c r="E74" s="1" t="n">
        <f aca="false">Data!F74-Data!$B74</f>
        <v>0.00378346487006741</v>
      </c>
      <c r="F74" s="1" t="n">
        <f aca="false">Data!G74-Data!$B74</f>
        <v>0.00302174817898026</v>
      </c>
      <c r="H74" s="1" t="n">
        <f aca="false">0.5*D74 + 0.5*F74</f>
        <v>0.00706432236535223</v>
      </c>
    </row>
    <row r="75" customFormat="false" ht="13.8" hidden="false" customHeight="false" outlineLevel="0" collapsed="false">
      <c r="A75" s="4" t="n">
        <v>40575</v>
      </c>
      <c r="B75" s="1" t="n">
        <f aca="false">Data!C75-Data!$B75</f>
        <v>0.0340628005061156</v>
      </c>
      <c r="C75" s="1" t="n">
        <f aca="false">Data!D75-Data!$B75</f>
        <v>-0.00141829500512659</v>
      </c>
      <c r="D75" s="1" t="n">
        <f aca="false">Data!E75-Data!$B75</f>
        <v>0.0186553282182438</v>
      </c>
      <c r="E75" s="1" t="n">
        <f aca="false">Data!F75-Data!$B75</f>
        <v>0.00270169068203651</v>
      </c>
      <c r="F75" s="1" t="n">
        <f aca="false">Data!G75-Data!$B75</f>
        <v>0.0133854771784232</v>
      </c>
      <c r="H75" s="1" t="n">
        <f aca="false">0.5*D75 + 0.5*F75</f>
        <v>0.0160204026983335</v>
      </c>
    </row>
    <row r="76" customFormat="false" ht="13.8" hidden="false" customHeight="false" outlineLevel="0" collapsed="false">
      <c r="A76" s="4" t="n">
        <v>40603</v>
      </c>
      <c r="B76" s="1" t="n">
        <f aca="false">Data!C76-Data!$B76</f>
        <v>0.000156176571768352</v>
      </c>
      <c r="C76" s="1" t="n">
        <f aca="false">Data!D76-Data!$B76</f>
        <v>0.0587149017307127</v>
      </c>
      <c r="D76" s="1" t="n">
        <f aca="false">Data!E76-Data!$B76</f>
        <v>0.00714757411199151</v>
      </c>
      <c r="E76" s="1" t="n">
        <f aca="false">Data!F76-Data!$B76</f>
        <v>0.00352151631477925</v>
      </c>
      <c r="F76" s="1" t="n">
        <f aca="false">Data!G76-Data!$B76</f>
        <v>0.0244649948822928</v>
      </c>
      <c r="H76" s="1" t="n">
        <f aca="false">0.5*D76 + 0.5*F76</f>
        <v>0.0158062844971422</v>
      </c>
    </row>
    <row r="77" customFormat="false" ht="13.8" hidden="false" customHeight="false" outlineLevel="0" collapsed="false">
      <c r="A77" s="4" t="n">
        <v>40634</v>
      </c>
      <c r="B77" s="1" t="n">
        <f aca="false">Data!C77-Data!$B77</f>
        <v>0.029479200786112</v>
      </c>
      <c r="C77" s="1" t="n">
        <f aca="false">Data!D77-Data!$B77</f>
        <v>0.0775730710624742</v>
      </c>
      <c r="D77" s="1" t="n">
        <f aca="false">Data!E77-Data!$B77</f>
        <v>0.0419111483654653</v>
      </c>
      <c r="E77" s="1" t="n">
        <f aca="false">Data!F77-Data!$B77</f>
        <v>0.00908477011494258</v>
      </c>
      <c r="F77" s="1" t="n">
        <f aca="false">Data!G77-Data!$B77</f>
        <v>0.00599400599400601</v>
      </c>
      <c r="H77" s="1" t="n">
        <f aca="false">0.5*D77 + 0.5*F77</f>
        <v>0.0239525771797357</v>
      </c>
    </row>
    <row r="78" customFormat="false" ht="13.8" hidden="false" customHeight="false" outlineLevel="0" collapsed="false">
      <c r="A78" s="4" t="n">
        <v>40664</v>
      </c>
      <c r="B78" s="1" t="n">
        <f aca="false">Data!C78-Data!$B78</f>
        <v>-0.0114540248170537</v>
      </c>
      <c r="C78" s="1" t="n">
        <f aca="false">Data!D78-Data!$B78</f>
        <v>0.0182542743283196</v>
      </c>
      <c r="D78" s="1" t="n">
        <f aca="false">Data!E78-Data!$B78</f>
        <v>0.0193081255028158</v>
      </c>
      <c r="E78" s="1" t="n">
        <f aca="false">Data!F78-Data!$B78</f>
        <v>0.00228099809885918</v>
      </c>
      <c r="F78" s="1" t="n">
        <f aca="false">Data!G78-Data!$B78</f>
        <v>0.000993048659384321</v>
      </c>
      <c r="H78" s="1" t="n">
        <f aca="false">0.5*D78 + 0.5*F78</f>
        <v>0.0101505870811001</v>
      </c>
    </row>
    <row r="79" customFormat="false" ht="13.8" hidden="false" customHeight="false" outlineLevel="0" collapsed="false">
      <c r="A79" s="4" t="n">
        <v>40695</v>
      </c>
      <c r="B79" s="1" t="n">
        <f aca="false">Data!C79-Data!$B79</f>
        <v>-0.0167227925294062</v>
      </c>
      <c r="C79" s="1" t="n">
        <f aca="false">Data!D79-Data!$B79</f>
        <v>-0.0219669233682616</v>
      </c>
      <c r="D79" s="1" t="n">
        <f aca="false">Data!E79-Data!$B79</f>
        <v>-0.00667542500036522</v>
      </c>
      <c r="E79" s="1" t="n">
        <f aca="false">Data!F79-Data!$B79</f>
        <v>-0.00140966761633421</v>
      </c>
      <c r="F79" s="1" t="n">
        <f aca="false">Data!G79-Data!$B79</f>
        <v>0.0238095238095237</v>
      </c>
      <c r="H79" s="1" t="n">
        <f aca="false">0.5*D79 + 0.5*F79</f>
        <v>0.00856704940457924</v>
      </c>
    </row>
    <row r="80" customFormat="false" ht="13.8" hidden="false" customHeight="false" outlineLevel="0" collapsed="false">
      <c r="A80" s="4" t="n">
        <v>40725</v>
      </c>
      <c r="B80" s="1" t="n">
        <f aca="false">Data!C80-Data!$B80</f>
        <v>-0.0204685573366216</v>
      </c>
      <c r="C80" s="1" t="n">
        <f aca="false">Data!D80-Data!$B80</f>
        <v>-0.00826126242416425</v>
      </c>
      <c r="D80" s="1" t="n">
        <f aca="false">Data!E80-Data!$B80</f>
        <v>-0.0144230769230769</v>
      </c>
      <c r="E80" s="1" t="n">
        <f aca="false">Data!F80-Data!$B80</f>
        <v>0.00320918095238088</v>
      </c>
      <c r="F80" s="1" t="n">
        <f aca="false">Data!G80-Data!$B80</f>
        <v>-0.00290697674418616</v>
      </c>
      <c r="H80" s="1" t="n">
        <f aca="false">0.5*D80 + 0.5*F80</f>
        <v>-0.00866502683363153</v>
      </c>
    </row>
    <row r="81" customFormat="false" ht="13.8" hidden="false" customHeight="false" outlineLevel="0" collapsed="false">
      <c r="A81" s="4" t="n">
        <v>40756</v>
      </c>
      <c r="B81" s="1" t="n">
        <f aca="false">Data!C81-Data!$B81</f>
        <v>-0.0545645854313528</v>
      </c>
      <c r="C81" s="1" t="n">
        <f aca="false">Data!D81-Data!$B81</f>
        <v>-0.109952922035663</v>
      </c>
      <c r="D81" s="1" t="n">
        <f aca="false">Data!E81-Data!$B81</f>
        <v>0.0202252032520325</v>
      </c>
      <c r="E81" s="1" t="n">
        <f aca="false">Data!F81-Data!$B81</f>
        <v>-0.00531279467680613</v>
      </c>
      <c r="F81" s="1" t="n">
        <f aca="false">Data!G81-Data!$B81</f>
        <v>0.0154490767735667</v>
      </c>
      <c r="H81" s="1" t="n">
        <f aca="false">0.5*D81 + 0.5*F81</f>
        <v>0.0178371400127996</v>
      </c>
    </row>
    <row r="82" customFormat="false" ht="13.8" hidden="false" customHeight="false" outlineLevel="0" collapsed="false">
      <c r="A82" s="4" t="n">
        <v>40787</v>
      </c>
      <c r="B82" s="1" t="n">
        <f aca="false">Data!C82-Data!$B82</f>
        <v>-0.0704258544721055</v>
      </c>
      <c r="C82" s="1" t="n">
        <f aca="false">Data!D82-Data!$B82</f>
        <v>-0.0399181166837258</v>
      </c>
      <c r="D82" s="1" t="n">
        <f aca="false">Data!E82-Data!$B82</f>
        <v>-0.00195821403150542</v>
      </c>
      <c r="E82" s="1" t="n">
        <f aca="false">Data!F82-Data!$B82</f>
        <v>-0.0150406985645933</v>
      </c>
      <c r="F82" s="1" t="n">
        <f aca="false">Data!G82-Data!$B82</f>
        <v>-0.0114832535885167</v>
      </c>
      <c r="H82" s="1" t="n">
        <f aca="false">0.5*D82 + 0.5*F82</f>
        <v>-0.00672073381001106</v>
      </c>
    </row>
    <row r="83" customFormat="false" ht="13.8" hidden="false" customHeight="false" outlineLevel="0" collapsed="false">
      <c r="A83" s="4" t="n">
        <v>40817</v>
      </c>
      <c r="B83" s="1" t="n">
        <f aca="false">Data!C83-Data!$B83</f>
        <v>0.109138030332117</v>
      </c>
      <c r="C83" s="1" t="n">
        <f aca="false">Data!D83-Data!$B83</f>
        <v>0.0939689308559244</v>
      </c>
      <c r="D83" s="1" t="n">
        <f aca="false">Data!E83-Data!$B83</f>
        <v>0.0434782608695652</v>
      </c>
      <c r="E83" s="1" t="n">
        <f aca="false">Data!F83-Data!$B83</f>
        <v>0.0101398054474708</v>
      </c>
      <c r="F83" s="1" t="n">
        <f aca="false">Data!G83-Data!$B83</f>
        <v>0.00871248789932233</v>
      </c>
      <c r="H83" s="1" t="n">
        <f aca="false">0.5*D83 + 0.5*F83</f>
        <v>0.0260953743844438</v>
      </c>
    </row>
    <row r="84" customFormat="false" ht="13.8" hidden="false" customHeight="false" outlineLevel="0" collapsed="false">
      <c r="A84" s="4" t="n">
        <v>40848</v>
      </c>
      <c r="B84" s="1" t="n">
        <f aca="false">Data!C84-Data!$B84</f>
        <v>-0.00233665080051926</v>
      </c>
      <c r="C84" s="1" t="n">
        <f aca="false">Data!D84-Data!$B84</f>
        <v>0.022831685925101</v>
      </c>
      <c r="D84" s="1" t="n">
        <f aca="false">Data!E84-Data!$B84</f>
        <v>0.00848765432098753</v>
      </c>
      <c r="E84" s="1" t="n">
        <f aca="false">Data!F84-Data!$B84</f>
        <v>-0.00550675024108005</v>
      </c>
      <c r="F84" s="1" t="n">
        <f aca="false">Data!G84-Data!$B84</f>
        <v>0.000959692898272468</v>
      </c>
      <c r="H84" s="1" t="n">
        <f aca="false">0.5*D84 + 0.5*F84</f>
        <v>0.00472367360963</v>
      </c>
    </row>
    <row r="85" customFormat="false" ht="13.8" hidden="false" customHeight="false" outlineLevel="0" collapsed="false">
      <c r="A85" s="4" t="n">
        <v>40878</v>
      </c>
      <c r="B85" s="1" t="n">
        <f aca="false">Data!C85-Data!$B85</f>
        <v>0.0101759777864656</v>
      </c>
      <c r="C85" s="1" t="n">
        <f aca="false">Data!D85-Data!$B85</f>
        <v>0.0118563187498821</v>
      </c>
      <c r="D85" s="1" t="n">
        <f aca="false">Data!E85-Data!$B85</f>
        <v>0.0331274383469813</v>
      </c>
      <c r="E85" s="1" t="n">
        <f aca="false">Data!F85-Data!$B85</f>
        <v>0.00588468191552583</v>
      </c>
      <c r="F85" s="1" t="n">
        <f aca="false">Data!G85-Data!$B85</f>
        <v>-0.00671140939597315</v>
      </c>
      <c r="H85" s="1" t="n">
        <f aca="false">0.5*D85 + 0.5*F85</f>
        <v>0.0132080144755041</v>
      </c>
    </row>
    <row r="86" customFormat="false" ht="13.8" hidden="false" customHeight="false" outlineLevel="0" collapsed="false">
      <c r="A86" s="4" t="n">
        <v>40909</v>
      </c>
      <c r="B86" s="1" t="n">
        <f aca="false">Data!C86-Data!$B86</f>
        <v>0.0446459412780655</v>
      </c>
      <c r="C86" s="1" t="n">
        <f aca="false">Data!D86-Data!$B86</f>
        <v>0.124766935985084</v>
      </c>
      <c r="D86" s="1" t="n">
        <f aca="false">Data!E86-Data!$B86</f>
        <v>-0.0231862378459237</v>
      </c>
      <c r="E86" s="1" t="n">
        <f aca="false">Data!F86-Data!$B86</f>
        <v>0.0147508746355685</v>
      </c>
      <c r="F86" s="1" t="n">
        <f aca="false">Data!G86-Data!$B86</f>
        <v>0.00193050193050204</v>
      </c>
      <c r="H86" s="1" t="n">
        <f aca="false">0.5*D86 + 0.5*F86</f>
        <v>-0.0106278679577108</v>
      </c>
    </row>
    <row r="87" customFormat="false" ht="13.8" hidden="false" customHeight="false" outlineLevel="0" collapsed="false">
      <c r="A87" s="4" t="n">
        <v>40940</v>
      </c>
      <c r="B87" s="1" t="n">
        <f aca="false">Data!C87-Data!$B87</f>
        <v>0.0430685293874515</v>
      </c>
      <c r="C87" s="1" t="n">
        <f aca="false">Data!D87-Data!$B87</f>
        <v>0.00414421881475335</v>
      </c>
      <c r="D87" s="1" t="n">
        <f aca="false">Data!E87-Data!$B87</f>
        <v>0.00995405819295558</v>
      </c>
      <c r="E87" s="1" t="n">
        <f aca="false">Data!F87-Data!$B87</f>
        <v>0.00179865642994237</v>
      </c>
      <c r="F87" s="1" t="n">
        <f aca="false">Data!G87-Data!$B87</f>
        <v>0.00674373795761074</v>
      </c>
      <c r="H87" s="1" t="n">
        <f aca="false">0.5*D87 + 0.5*F87</f>
        <v>0.00834889807528316</v>
      </c>
    </row>
    <row r="88" customFormat="false" ht="13.8" hidden="false" customHeight="false" outlineLevel="0" collapsed="false">
      <c r="A88" s="4" t="n">
        <v>40969</v>
      </c>
      <c r="B88" s="1" t="n">
        <f aca="false">Data!C88-Data!$B88</f>
        <v>0.0328145498659875</v>
      </c>
      <c r="C88" s="1" t="n">
        <f aca="false">Data!D88-Data!$B88</f>
        <v>0.0403081579309397</v>
      </c>
      <c r="D88" s="1" t="n">
        <f aca="false">Data!E88-Data!$B88</f>
        <v>0.016793718448936</v>
      </c>
      <c r="E88" s="1" t="n">
        <f aca="false">Data!F88-Data!$B88</f>
        <v>0.000216554702495264</v>
      </c>
      <c r="F88" s="1" t="n">
        <f aca="false">Data!G88-Data!$B88</f>
        <v>-0.00287081339712914</v>
      </c>
      <c r="H88" s="1" t="n">
        <f aca="false">0.5*D88 + 0.5*F88</f>
        <v>0.00696145252590343</v>
      </c>
    </row>
    <row r="89" customFormat="false" ht="13.8" hidden="false" customHeight="false" outlineLevel="0" collapsed="false">
      <c r="A89" s="4" t="n">
        <v>41000</v>
      </c>
      <c r="B89" s="1" t="n">
        <f aca="false">Data!C89-Data!$B89</f>
        <v>-0.00639543843427348</v>
      </c>
      <c r="C89" s="1" t="n">
        <f aca="false">Data!D89-Data!$B89</f>
        <v>0.00793440888653785</v>
      </c>
      <c r="D89" s="1" t="n">
        <f aca="false">Data!E89-Data!$B89</f>
        <v>0.0218045112781955</v>
      </c>
      <c r="E89" s="1" t="n">
        <f aca="false">Data!F89-Data!$B89</f>
        <v>0.0088283557692308</v>
      </c>
      <c r="F89" s="1" t="n">
        <f aca="false">Data!G89-Data!$B89</f>
        <v>-0.010556621880998</v>
      </c>
      <c r="H89" s="1" t="n">
        <f aca="false">0.5*D89 + 0.5*F89</f>
        <v>0.00562394469859875</v>
      </c>
    </row>
    <row r="90" customFormat="false" ht="13.8" hidden="false" customHeight="false" outlineLevel="0" collapsed="false">
      <c r="A90" s="4" t="n">
        <v>41030</v>
      </c>
      <c r="B90" s="1" t="n">
        <f aca="false">Data!C90-Data!$B90</f>
        <v>-0.060278363706863</v>
      </c>
      <c r="C90" s="1" t="n">
        <f aca="false">Data!D90-Data!$B90</f>
        <v>-0.00784075045919709</v>
      </c>
      <c r="D90" s="1" t="n">
        <f aca="false">Data!E90-Data!$B90</f>
        <v>0.000635835172921195</v>
      </c>
      <c r="E90" s="1" t="n">
        <f aca="false">Data!F90-Data!$B90</f>
        <v>0.00214512893982798</v>
      </c>
      <c r="F90" s="1" t="n">
        <f aca="false">Data!G90-Data!$B90</f>
        <v>-0.0117391852570321</v>
      </c>
      <c r="H90" s="1" t="n">
        <f aca="false">0.5*D90 + 0.5*F90</f>
        <v>-0.00555167504205545</v>
      </c>
    </row>
    <row r="91" customFormat="false" ht="13.8" hidden="false" customHeight="false" outlineLevel="0" collapsed="false">
      <c r="A91" s="4" t="n">
        <v>41061</v>
      </c>
      <c r="B91" s="1" t="n">
        <f aca="false">Data!C91-Data!$B91</f>
        <v>0.041089483646604</v>
      </c>
      <c r="C91" s="1" t="n">
        <f aca="false">Data!D91-Data!$B91</f>
        <v>0.0967869892899644</v>
      </c>
      <c r="D91" s="1" t="n">
        <f aca="false">Data!E91-Data!$B91</f>
        <v>0.0356381694468835</v>
      </c>
      <c r="E91" s="1" t="n">
        <f aca="false">Data!F91-Data!$B91</f>
        <v>0.00282278892072574</v>
      </c>
      <c r="F91" s="1" t="n">
        <f aca="false">Data!G91-Data!$B91</f>
        <v>0.00588812561334651</v>
      </c>
      <c r="H91" s="1" t="n">
        <f aca="false">0.5*D91 + 0.5*F91</f>
        <v>0.020763147530115</v>
      </c>
    </row>
    <row r="92" customFormat="false" ht="13.8" hidden="false" customHeight="false" outlineLevel="0" collapsed="false">
      <c r="A92" s="4" t="n">
        <v>41091</v>
      </c>
      <c r="B92" s="1" t="n">
        <f aca="false">Data!C92-Data!$B92</f>
        <v>0.013699721226603</v>
      </c>
      <c r="C92" s="1" t="n">
        <f aca="false">Data!D92-Data!$B92</f>
        <v>0.00132610006027734</v>
      </c>
      <c r="D92" s="1" t="n">
        <f aca="false">Data!E92-Data!$B92</f>
        <v>0.0293486041517537</v>
      </c>
      <c r="E92" s="1" t="n">
        <f aca="false">Data!F92-Data!$B92</f>
        <v>0.0110983015267174</v>
      </c>
      <c r="F92" s="1" t="n">
        <f aca="false">Data!G92-Data!$B92</f>
        <v>0.0243902439024391</v>
      </c>
      <c r="H92" s="1" t="n">
        <f aca="false">0.5*D92 + 0.5*F92</f>
        <v>0.0268694240270964</v>
      </c>
    </row>
    <row r="93" customFormat="false" ht="13.8" hidden="false" customHeight="false" outlineLevel="0" collapsed="false">
      <c r="A93" s="4" t="n">
        <v>41122</v>
      </c>
      <c r="B93" s="1" t="n">
        <f aca="false">Data!C93-Data!$B93</f>
        <v>0.0222933370000786</v>
      </c>
      <c r="C93" s="1" t="n">
        <f aca="false">Data!D93-Data!$B93</f>
        <v>0.0175980496026968</v>
      </c>
      <c r="D93" s="1" t="n">
        <f aca="false">Data!E93-Data!$B93</f>
        <v>-0.0313934631432545</v>
      </c>
      <c r="E93" s="1" t="n">
        <f aca="false">Data!F93-Data!$B93</f>
        <v>0.00307965028355371</v>
      </c>
      <c r="F93" s="1" t="n">
        <f aca="false">Data!G93-Data!$B93</f>
        <v>-0.0115285714285713</v>
      </c>
      <c r="H93" s="1" t="n">
        <f aca="false">0.5*D93 + 0.5*F93</f>
        <v>-0.0214610172859129</v>
      </c>
    </row>
    <row r="94" customFormat="false" ht="13.8" hidden="false" customHeight="false" outlineLevel="0" collapsed="false">
      <c r="A94" s="4" t="n">
        <v>41153</v>
      </c>
      <c r="B94" s="1" t="n">
        <f aca="false">Data!C94-Data!$B94</f>
        <v>0.0256653129580961</v>
      </c>
      <c r="C94" s="1" t="n">
        <f aca="false">Data!D94-Data!$B94</f>
        <v>0.0356269608423045</v>
      </c>
      <c r="D94" s="1" t="n">
        <f aca="false">Data!E94-Data!$B94</f>
        <v>0.0157842793630565</v>
      </c>
      <c r="E94" s="1" t="n">
        <f aca="false">Data!F94-Data!$B94</f>
        <v>0.006897669811321</v>
      </c>
      <c r="F94" s="1" t="n">
        <f aca="false">Data!G94-Data!$B94</f>
        <v>-0.0135874759152216</v>
      </c>
      <c r="H94" s="1" t="n">
        <f aca="false">0.5*D94 + 0.5*F94</f>
        <v>0.00109840172391745</v>
      </c>
    </row>
    <row r="95" customFormat="false" ht="13.8" hidden="false" customHeight="false" outlineLevel="0" collapsed="false">
      <c r="A95" s="4" t="n">
        <v>41183</v>
      </c>
      <c r="B95" s="1" t="n">
        <f aca="false">Data!C95-Data!$B95</f>
        <v>-0.0186951968681773</v>
      </c>
      <c r="C95" s="1" t="n">
        <f aca="false">Data!D95-Data!$B95</f>
        <v>-0.0599515134209023</v>
      </c>
      <c r="D95" s="1" t="n">
        <f aca="false">Data!E95-Data!$B95</f>
        <v>0.0134327635327636</v>
      </c>
      <c r="E95" s="1" t="n">
        <f aca="false">Data!F95-Data!$B95</f>
        <v>2.5112570356745E-005</v>
      </c>
      <c r="F95" s="1" t="n">
        <f aca="false">Data!G95-Data!$B95</f>
        <v>-0.00400625000000011</v>
      </c>
      <c r="H95" s="1" t="n">
        <f aca="false">0.5*D95 + 0.5*F95</f>
        <v>0.00471325676638175</v>
      </c>
    </row>
    <row r="96" customFormat="false" ht="13.8" hidden="false" customHeight="false" outlineLevel="0" collapsed="false">
      <c r="A96" s="4" t="n">
        <v>41214</v>
      </c>
      <c r="B96" s="1" t="n">
        <f aca="false">Data!C96-Data!$B96</f>
        <v>0.00549987726296396</v>
      </c>
      <c r="C96" s="1" t="n">
        <f aca="false">Data!D96-Data!$B96</f>
        <v>0.0169088689102175</v>
      </c>
      <c r="D96" s="1" t="n">
        <f aca="false">Data!E96-Data!$B96</f>
        <v>-0.0345342937456079</v>
      </c>
      <c r="E96" s="1" t="n">
        <f aca="false">Data!F96-Data!$B96</f>
        <v>0.00277903195488726</v>
      </c>
      <c r="F96" s="1" t="n">
        <f aca="false">Data!G96-Data!$B96</f>
        <v>0.00578235294117645</v>
      </c>
      <c r="H96" s="1" t="n">
        <f aca="false">0.5*D96 + 0.5*F96</f>
        <v>-0.0143759704022157</v>
      </c>
    </row>
    <row r="97" customFormat="false" ht="13.8" hidden="false" customHeight="false" outlineLevel="0" collapsed="false">
      <c r="A97" s="4" t="n">
        <v>41244</v>
      </c>
      <c r="B97" s="1" t="n">
        <f aca="false">Data!C97-Data!$B97</f>
        <v>0.00892281559267482</v>
      </c>
      <c r="C97" s="1" t="n">
        <f aca="false">Data!D97-Data!$B97</f>
        <v>-0.00562089336960715</v>
      </c>
      <c r="D97" s="1" t="n">
        <f aca="false">Data!E97-Data!$B97</f>
        <v>0.0031246259786568</v>
      </c>
      <c r="E97" s="1" t="n">
        <f aca="false">Data!F97-Data!$B97</f>
        <v>0.00167371449957464</v>
      </c>
      <c r="F97" s="1" t="n">
        <f aca="false">Data!G97-Data!$B97</f>
        <v>-0.00545197296330903</v>
      </c>
      <c r="H97" s="1" t="n">
        <f aca="false">0.5*D97 + 0.5*F97</f>
        <v>-0.00116367349232611</v>
      </c>
    </row>
    <row r="98" customFormat="false" ht="13.8" hidden="false" customHeight="false" outlineLevel="0" collapsed="false">
      <c r="A98" s="4" t="n">
        <v>41275</v>
      </c>
      <c r="B98" s="1" t="n">
        <f aca="false">Data!C98-Data!$B98</f>
        <v>0.051762198371013</v>
      </c>
      <c r="C98" s="1" t="n">
        <f aca="false">Data!D98-Data!$B98</f>
        <v>0.0874008175042076</v>
      </c>
      <c r="D98" s="1" t="n">
        <f aca="false">Data!E98-Data!$B98</f>
        <v>0.0455212922173276</v>
      </c>
      <c r="E98" s="1" t="n">
        <f aca="false">Data!F98-Data!$B98</f>
        <v>-0.00248184586108446</v>
      </c>
      <c r="F98" s="1" t="n">
        <f aca="false">Data!G98-Data!$B98</f>
        <v>0.0137795275590551</v>
      </c>
      <c r="H98" s="1" t="n">
        <f aca="false">0.5*D98 + 0.5*F98</f>
        <v>0.0296504098881914</v>
      </c>
    </row>
    <row r="99" customFormat="false" ht="13.8" hidden="false" customHeight="false" outlineLevel="0" collapsed="false">
      <c r="A99" s="4" t="n">
        <v>41306</v>
      </c>
      <c r="B99" s="1" t="n">
        <f aca="false">Data!C99-Data!$B99</f>
        <v>0.0133893030324963</v>
      </c>
      <c r="C99" s="1" t="n">
        <f aca="false">Data!D99-Data!$B99</f>
        <v>0.0208955223880598</v>
      </c>
      <c r="D99" s="1" t="n">
        <f aca="false">Data!E99-Data!$B99</f>
        <v>0.0217696629213484</v>
      </c>
      <c r="E99" s="1" t="n">
        <f aca="false">Data!F99-Data!$B99</f>
        <v>0.00421837631327593</v>
      </c>
      <c r="F99" s="1" t="n">
        <f aca="false">Data!G99-Data!$B99</f>
        <v>0.00582524271844642</v>
      </c>
      <c r="H99" s="1" t="n">
        <f aca="false">0.5*D99 + 0.5*F99</f>
        <v>0.0137974528198974</v>
      </c>
    </row>
    <row r="100" customFormat="false" ht="13.8" hidden="false" customHeight="false" outlineLevel="0" collapsed="false">
      <c r="A100" s="4" t="n">
        <v>41334</v>
      </c>
      <c r="B100" s="1" t="n">
        <f aca="false">Data!C100-Data!$B100</f>
        <v>0.0373864804024786</v>
      </c>
      <c r="C100" s="1" t="n">
        <f aca="false">Data!D100-Data!$B100</f>
        <v>0.0752653238033356</v>
      </c>
      <c r="D100" s="1" t="n">
        <f aca="false">Data!E100-Data!$B100</f>
        <v>0.0474397912478075</v>
      </c>
      <c r="E100" s="1" t="n">
        <f aca="false">Data!F100-Data!$B100</f>
        <v>0.00171609523809524</v>
      </c>
      <c r="F100" s="1" t="n">
        <f aca="false">Data!G100-Data!$B100</f>
        <v>0.00994153231748673</v>
      </c>
      <c r="H100" s="1" t="n">
        <f aca="false">0.5*D100 + 0.5*F100</f>
        <v>0.0286906617826471</v>
      </c>
    </row>
    <row r="101" customFormat="false" ht="13.8" hidden="false" customHeight="false" outlineLevel="0" collapsed="false">
      <c r="A101" s="4" t="n">
        <v>41365</v>
      </c>
      <c r="B101" s="1" t="n">
        <f aca="false">Data!C101-Data!$B101</f>
        <v>0.019085817025102</v>
      </c>
      <c r="C101" s="1" t="n">
        <f aca="false">Data!D101-Data!$B101</f>
        <v>0.0670762413133246</v>
      </c>
      <c r="D101" s="1" t="n">
        <f aca="false">Data!E101-Data!$B101</f>
        <v>0.0535714285714286</v>
      </c>
      <c r="E101" s="1" t="n">
        <f aca="false">Data!F101-Data!$B101</f>
        <v>0.00478193333333321</v>
      </c>
      <c r="F101" s="1" t="n">
        <f aca="false">Data!G101-Data!$B101</f>
        <v>0.00382409177820264</v>
      </c>
      <c r="H101" s="1" t="n">
        <f aca="false">0.5*D101 + 0.5*F101</f>
        <v>0.0286977601748156</v>
      </c>
    </row>
    <row r="102" customFormat="false" ht="13.8" hidden="false" customHeight="false" outlineLevel="0" collapsed="false">
      <c r="A102" s="4" t="n">
        <v>41395</v>
      </c>
      <c r="B102" s="1" t="n">
        <f aca="false">Data!C102-Data!$B102</f>
        <v>0.0232747506276718</v>
      </c>
      <c r="C102" s="1" t="n">
        <f aca="false">Data!D102-Data!$B102</f>
        <v>0.0317130722038697</v>
      </c>
      <c r="D102" s="1" t="n">
        <f aca="false">Data!E102-Data!$B102</f>
        <v>-0.0715630885122411</v>
      </c>
      <c r="E102" s="1" t="n">
        <f aca="false">Data!F102-Data!$B102</f>
        <v>-0.0109304558404556</v>
      </c>
      <c r="F102" s="1" t="n">
        <f aca="false">Data!G102-Data!$B102</f>
        <v>0.00952380952380949</v>
      </c>
      <c r="H102" s="1" t="n">
        <f aca="false">0.5*D102 + 0.5*F102</f>
        <v>-0.0310196394942158</v>
      </c>
    </row>
    <row r="103" customFormat="false" ht="13.8" hidden="false" customHeight="false" outlineLevel="0" collapsed="false">
      <c r="A103" s="4" t="n">
        <v>41426</v>
      </c>
      <c r="B103" s="1" t="n">
        <f aca="false">Data!C103-Data!$B103</f>
        <v>-0.0135055322901633</v>
      </c>
      <c r="C103" s="1" t="n">
        <f aca="false">Data!D103-Data!$B103</f>
        <v>-0.00997164028908615</v>
      </c>
      <c r="D103" s="1" t="n">
        <f aca="false">Data!E103-Data!$B103</f>
        <v>0.00645497421641483</v>
      </c>
      <c r="E103" s="1" t="n">
        <f aca="false">Data!F103-Data!$B103</f>
        <v>-0.013181625</v>
      </c>
      <c r="F103" s="1" t="n">
        <f aca="false">Data!G103-Data!$B103</f>
        <v>0.00283018867924545</v>
      </c>
      <c r="H103" s="1" t="n">
        <f aca="false">0.5*D103 + 0.5*F103</f>
        <v>0.00464258144783014</v>
      </c>
    </row>
    <row r="104" customFormat="false" ht="13.8" hidden="false" customHeight="false" outlineLevel="0" collapsed="false">
      <c r="A104" s="4" t="n">
        <v>41456</v>
      </c>
      <c r="B104" s="1" t="n">
        <f aca="false">Data!C104-Data!$B104</f>
        <v>0.0507226799945968</v>
      </c>
      <c r="C104" s="1" t="n">
        <f aca="false">Data!D104-Data!$B104</f>
        <v>0.15810386250231</v>
      </c>
      <c r="D104" s="1" t="n">
        <f aca="false">Data!E104-Data!$B104</f>
        <v>0.039268788083954</v>
      </c>
      <c r="E104" s="1" t="n">
        <f aca="false">Data!F104-Data!$B104</f>
        <v>0.00418866341463398</v>
      </c>
      <c r="F104" s="1" t="n">
        <f aca="false">Data!G104-Data!$B104</f>
        <v>0.000940733772342384</v>
      </c>
      <c r="H104" s="1" t="n">
        <f aca="false">0.5*D104 + 0.5*F104</f>
        <v>0.0201047609281482</v>
      </c>
    </row>
    <row r="105" customFormat="false" ht="13.8" hidden="false" customHeight="false" outlineLevel="0" collapsed="false">
      <c r="A105" s="4" t="n">
        <v>41487</v>
      </c>
      <c r="B105" s="1" t="n">
        <f aca="false">Data!C105-Data!$B105</f>
        <v>-0.0291187246898502</v>
      </c>
      <c r="C105" s="1" t="n">
        <f aca="false">Data!D105-Data!$B105</f>
        <v>-0.0172345009175776</v>
      </c>
      <c r="D105" s="1" t="n">
        <f aca="false">Data!E105-Data!$B105</f>
        <v>-0.0508143322475569</v>
      </c>
      <c r="E105" s="1" t="n">
        <f aca="false">Data!F105-Data!$B105</f>
        <v>-0.00482097276264581</v>
      </c>
      <c r="F105" s="1" t="n">
        <f aca="false">Data!G105-Data!$B105</f>
        <v>-0.0131578947368422</v>
      </c>
      <c r="H105" s="1" t="n">
        <f aca="false">0.5*D105 + 0.5*F105</f>
        <v>-0.0319861134921996</v>
      </c>
    </row>
    <row r="106" customFormat="false" ht="13.8" hidden="false" customHeight="false" outlineLevel="0" collapsed="false">
      <c r="A106" s="4" t="n">
        <v>41518</v>
      </c>
      <c r="B106" s="1" t="n">
        <f aca="false">Data!C106-Data!$B106</f>
        <v>0.0312163075154652</v>
      </c>
      <c r="C106" s="1" t="n">
        <f aca="false">Data!D106-Data!$B106</f>
        <v>0.0980758301534463</v>
      </c>
      <c r="D106" s="1" t="n">
        <f aca="false">Data!E106-Data!$B106</f>
        <v>0.0115012646927539</v>
      </c>
      <c r="E106" s="1" t="n">
        <f aca="false">Data!F106-Data!$B106</f>
        <v>0.00862356164383571</v>
      </c>
      <c r="F106" s="1" t="n">
        <f aca="false">Data!G106-Data!$B106</f>
        <v>0.00857142857142845</v>
      </c>
      <c r="H106" s="1" t="n">
        <f aca="false">0.5*D106 + 0.5*F106</f>
        <v>0.0100363466320912</v>
      </c>
    </row>
    <row r="107" customFormat="false" ht="13.8" hidden="false" customHeight="false" outlineLevel="0" collapsed="false">
      <c r="A107" s="4" t="n">
        <v>41548</v>
      </c>
      <c r="B107" s="1" t="n">
        <f aca="false">Data!C107-Data!$B107</f>
        <v>0.04586504967101</v>
      </c>
      <c r="C107" s="1" t="n">
        <f aca="false">Data!D107-Data!$B107</f>
        <v>-0.0599630314232902</v>
      </c>
      <c r="D107" s="1" t="n">
        <f aca="false">Data!E107-Data!$B107</f>
        <v>0.0376196990424078</v>
      </c>
      <c r="E107" s="1" t="n">
        <f aca="false">Data!F107-Data!$B107</f>
        <v>0.0048375339805824</v>
      </c>
      <c r="F107" s="1" t="n">
        <f aca="false">Data!G107-Data!$B107</f>
        <v>0.0292728989612843</v>
      </c>
      <c r="H107" s="1" t="n">
        <f aca="false">0.5*D107 + 0.5*F107</f>
        <v>0.0334462990018461</v>
      </c>
    </row>
    <row r="108" customFormat="false" ht="13.8" hidden="false" customHeight="false" outlineLevel="0" collapsed="false">
      <c r="A108" s="4" t="n">
        <v>41579</v>
      </c>
      <c r="B108" s="1" t="n">
        <f aca="false">Data!C108-Data!$B108</f>
        <v>0.0302843397273793</v>
      </c>
      <c r="C108" s="1" t="n">
        <f aca="false">Data!D108-Data!$B108</f>
        <v>0.0674846625766872</v>
      </c>
      <c r="D108" s="1" t="n">
        <f aca="false">Data!E108-Data!$B108</f>
        <v>-0.017139090309822</v>
      </c>
      <c r="E108" s="1" t="n">
        <f aca="false">Data!F108-Data!$B108</f>
        <v>0.00478603481624784</v>
      </c>
      <c r="F108" s="1" t="n">
        <f aca="false">Data!G108-Data!$B108</f>
        <v>0.0110091743119265</v>
      </c>
      <c r="H108" s="1" t="n">
        <f aca="false">0.5*D108 + 0.5*F108</f>
        <v>-0.00306495799894775</v>
      </c>
    </row>
    <row r="109" customFormat="false" ht="13.8" hidden="false" customHeight="false" outlineLevel="0" collapsed="false">
      <c r="A109" s="4" t="n">
        <v>41609</v>
      </c>
      <c r="B109" s="1" t="n">
        <f aca="false">Data!C109-Data!$B109</f>
        <v>0.0251377505765782</v>
      </c>
      <c r="C109" s="1" t="n">
        <f aca="false">Data!D109-Data!$B109</f>
        <v>0.0335732430377995</v>
      </c>
      <c r="D109" s="1" t="n">
        <f aca="false">Data!E109-Data!$B109</f>
        <v>0.014347681179099</v>
      </c>
      <c r="E109" s="1" t="n">
        <f aca="false">Data!F109-Data!$B109</f>
        <v>-0.00378458072887622</v>
      </c>
      <c r="F109" s="1" t="n">
        <f aca="false">Data!G109-Data!$B109</f>
        <v>0.000907441016333888</v>
      </c>
      <c r="H109" s="1" t="n">
        <f aca="false">0.5*D109 + 0.5*F109</f>
        <v>0.00762756109771644</v>
      </c>
    </row>
    <row r="110" customFormat="false" ht="13.8" hidden="false" customHeight="false" outlineLevel="0" collapsed="false">
      <c r="A110" s="4" t="n">
        <v>41640</v>
      </c>
      <c r="B110" s="1" t="n">
        <f aca="false">Data!C110-Data!$B110</f>
        <v>-0.0346912420756047</v>
      </c>
      <c r="C110" s="1" t="n">
        <f aca="false">Data!D110-Data!$B110</f>
        <v>0.112408424908425</v>
      </c>
      <c r="D110" s="1" t="n">
        <f aca="false">Data!E110-Data!$B110</f>
        <v>0.0220883534136547</v>
      </c>
      <c r="E110" s="1" t="n">
        <f aca="false">Data!F110-Data!$B110</f>
        <v>0.00229963213939977</v>
      </c>
      <c r="F110" s="1" t="n">
        <f aca="false">Data!G110-Data!$B110</f>
        <v>-0.00181323662737987</v>
      </c>
      <c r="H110" s="1" t="n">
        <f aca="false">0.5*D110 + 0.5*F110</f>
        <v>0.0101375583931374</v>
      </c>
    </row>
    <row r="111" customFormat="false" ht="13.8" hidden="false" customHeight="false" outlineLevel="0" collapsed="false">
      <c r="A111" s="4" t="n">
        <v>41671</v>
      </c>
      <c r="B111" s="1" t="n">
        <f aca="false">Data!C111-Data!$B111</f>
        <v>0.0456065673456978</v>
      </c>
      <c r="C111" s="1" t="n">
        <f aca="false">Data!D111-Data!$B111</f>
        <v>0.0731289016944501</v>
      </c>
      <c r="D111" s="1" t="n">
        <f aca="false">Data!E111-Data!$B111</f>
        <v>0.0360183366077276</v>
      </c>
      <c r="E111" s="1" t="n">
        <f aca="false">Data!F111-Data!$B111</f>
        <v>0.0055208212560387</v>
      </c>
      <c r="F111" s="1" t="n">
        <f aca="false">Data!G111-Data!$B111</f>
        <v>0.0108991825613081</v>
      </c>
      <c r="H111" s="1" t="n">
        <f aca="false">0.5*D111 + 0.5*F111</f>
        <v>0.0234587595845179</v>
      </c>
    </row>
    <row r="112" customFormat="false" ht="13.8" hidden="false" customHeight="false" outlineLevel="0" collapsed="false">
      <c r="A112" s="4" t="n">
        <v>41699</v>
      </c>
      <c r="B112" s="1" t="n">
        <f aca="false">Data!C112-Data!$B112</f>
        <v>0.00823795990288501</v>
      </c>
      <c r="C112" s="1" t="n">
        <f aca="false">Data!D112-Data!$B112</f>
        <v>-0.106053825992457</v>
      </c>
      <c r="D112" s="1" t="n">
        <f aca="false">Data!E112-Data!$B112</f>
        <v>0.0258574532253924</v>
      </c>
      <c r="E112" s="1" t="n">
        <f aca="false">Data!F112-Data!$B112</f>
        <v>-0.00458665384615387</v>
      </c>
      <c r="F112" s="1" t="n">
        <f aca="false">Data!G112-Data!$B112</f>
        <v>0.0188679245283019</v>
      </c>
      <c r="H112" s="1" t="n">
        <f aca="false">0.5*D112 + 0.5*F112</f>
        <v>0.0223626888768472</v>
      </c>
    </row>
    <row r="113" customFormat="false" ht="13.8" hidden="false" customHeight="false" outlineLevel="0" collapsed="false">
      <c r="A113" s="4" t="n">
        <v>41730</v>
      </c>
      <c r="B113" s="1" t="n">
        <f aca="false">Data!C113-Data!$B113</f>
        <v>0.00724091988646247</v>
      </c>
      <c r="C113" s="1" t="n">
        <f aca="false">Data!D113-Data!$B113</f>
        <v>-0.0756578947368422</v>
      </c>
      <c r="D113" s="1" t="n">
        <f aca="false">Data!E113-Data!$B113</f>
        <v>0.0360024829298573</v>
      </c>
      <c r="E113" s="1" t="n">
        <f aca="false">Data!F113-Data!$B113</f>
        <v>0.00312050290135368</v>
      </c>
      <c r="F113" s="1" t="n">
        <f aca="false">Data!G113-Data!$B113</f>
        <v>0.00617283950617287</v>
      </c>
      <c r="H113" s="1" t="n">
        <f aca="false">0.5*D113 + 0.5*F113</f>
        <v>0.0210876612180151</v>
      </c>
    </row>
    <row r="114" customFormat="false" ht="13.8" hidden="false" customHeight="false" outlineLevel="0" collapsed="false">
      <c r="A114" s="4" t="n">
        <v>41760</v>
      </c>
      <c r="B114" s="1" t="n">
        <f aca="false">Data!C114-Data!$B114</f>
        <v>0.0233494363929148</v>
      </c>
      <c r="C114" s="1" t="n">
        <f aca="false">Data!D114-Data!$B114</f>
        <v>0.0285471143431844</v>
      </c>
      <c r="D114" s="1" t="n">
        <f aca="false">Data!E114-Data!$B114</f>
        <v>0.000599161174355878</v>
      </c>
      <c r="E114" s="1" t="n">
        <f aca="false">Data!F114-Data!$B114</f>
        <v>0.00419314671814663</v>
      </c>
      <c r="F114" s="1" t="n">
        <f aca="false">Data!G114-Data!$B114</f>
        <v>0.00964066608238379</v>
      </c>
      <c r="H114" s="1" t="n">
        <f aca="false">0.5*D114 + 0.5*F114</f>
        <v>0.00511991362836983</v>
      </c>
    </row>
    <row r="115" customFormat="false" ht="13.8" hidden="false" customHeight="false" outlineLevel="0" collapsed="false">
      <c r="A115" s="4" t="n">
        <v>41791</v>
      </c>
      <c r="B115" s="1" t="n">
        <f aca="false">Data!C115-Data!$B115</f>
        <v>0.0205195136102581</v>
      </c>
      <c r="C115" s="1" t="n">
        <f aca="false">Data!D115-Data!$B115</f>
        <v>0.082737871380218</v>
      </c>
      <c r="D115" s="1" t="n">
        <f aca="false">Data!E115-Data!$B115</f>
        <v>0.0497415656932065</v>
      </c>
      <c r="E115" s="1" t="n">
        <f aca="false">Data!F115-Data!$B115</f>
        <v>8.54667949952148E-005</v>
      </c>
      <c r="F115" s="1" t="n">
        <f aca="false">Data!G115-Data!$B115</f>
        <v>-0.015625</v>
      </c>
      <c r="H115" s="1" t="n">
        <f aca="false">0.5*D115 + 0.5*F115</f>
        <v>0.0170582828466033</v>
      </c>
    </row>
    <row r="116" customFormat="false" ht="13.8" hidden="false" customHeight="false" outlineLevel="0" collapsed="false">
      <c r="A116" s="4" t="n">
        <v>41821</v>
      </c>
      <c r="B116" s="1" t="n">
        <f aca="false">Data!C116-Data!$B116</f>
        <v>-0.0138804401924461</v>
      </c>
      <c r="C116" s="1" t="n">
        <f aca="false">Data!D116-Data!$B116</f>
        <v>-0.00972559916637705</v>
      </c>
      <c r="D116" s="1" t="n">
        <f aca="false">Data!E116-Data!$B116</f>
        <v>-0.0557151062607696</v>
      </c>
      <c r="E116" s="1" t="n">
        <f aca="false">Data!F116-Data!$B116</f>
        <v>-0.00459341040462435</v>
      </c>
      <c r="F116" s="1" t="n">
        <f aca="false">Data!G116-Data!$B116</f>
        <v>0.00881834215167543</v>
      </c>
      <c r="H116" s="1" t="n">
        <f aca="false">0.5*D116 + 0.5*F116</f>
        <v>-0.0234483820545471</v>
      </c>
    </row>
    <row r="117" customFormat="false" ht="13.8" hidden="false" customHeight="false" outlineLevel="0" collapsed="false">
      <c r="A117" s="4" t="n">
        <v>41852</v>
      </c>
      <c r="B117" s="1" t="n">
        <f aca="false">Data!C117-Data!$B117</f>
        <v>0.0398721399730821</v>
      </c>
      <c r="C117" s="1" t="n">
        <f aca="false">Data!D117-Data!$B117</f>
        <v>0.127043142756927</v>
      </c>
      <c r="D117" s="1" t="n">
        <f aca="false">Data!E117-Data!$B117</f>
        <v>0.0468369829683697</v>
      </c>
      <c r="E117" s="1" t="n">
        <f aca="false">Data!F117-Data!$B117</f>
        <v>0.00398553294573634</v>
      </c>
      <c r="F117" s="1" t="n">
        <f aca="false">Data!G117-Data!$B117</f>
        <v>0</v>
      </c>
      <c r="H117" s="1" t="n">
        <f aca="false">0.5*D117 + 0.5*F117</f>
        <v>0.0234184914841849</v>
      </c>
    </row>
    <row r="118" customFormat="false" ht="13.8" hidden="false" customHeight="false" outlineLevel="0" collapsed="false">
      <c r="A118" s="4" t="n">
        <v>41883</v>
      </c>
      <c r="B118" s="1" t="n">
        <f aca="false">Data!C118-Data!$B118</f>
        <v>-0.0141796015655977</v>
      </c>
      <c r="C118" s="1" t="n">
        <f aca="false">Data!D118-Data!$B118</f>
        <v>-0.0194821361882236</v>
      </c>
      <c r="D118" s="1" t="n">
        <f aca="false">Data!E118-Data!$B118</f>
        <v>-0.0300780301704791</v>
      </c>
      <c r="E118" s="1" t="n">
        <f aca="false">Data!F118-Data!$B118</f>
        <v>-0.00397203864734275</v>
      </c>
      <c r="F118" s="1" t="n">
        <f aca="false">Data!G118-Data!$B118</f>
        <v>0.000874125874125831</v>
      </c>
      <c r="H118" s="1" t="n">
        <f aca="false">0.5*D118 + 0.5*F118</f>
        <v>-0.0146019521481766</v>
      </c>
    </row>
    <row r="119" customFormat="false" ht="13.8" hidden="false" customHeight="false" outlineLevel="0" collapsed="false">
      <c r="A119" s="4" t="n">
        <v>41913</v>
      </c>
      <c r="B119" s="1" t="n">
        <f aca="false">Data!C119-Data!$B119</f>
        <v>0.0242321006648716</v>
      </c>
      <c r="C119" s="1" t="n">
        <f aca="false">Data!D119-Data!$B119</f>
        <v>0.0824604837173872</v>
      </c>
      <c r="D119" s="1" t="n">
        <f aca="false">Data!E119-Data!$B119</f>
        <v>0.0717732207478892</v>
      </c>
      <c r="E119" s="1" t="n">
        <f aca="false">Data!F119-Data!$B119</f>
        <v>0.00377226213592241</v>
      </c>
      <c r="F119" s="1" t="n">
        <f aca="false">Data!G119-Data!$B119</f>
        <v>-0.00174672489082961</v>
      </c>
      <c r="H119" s="1" t="n">
        <f aca="false">0.5*D119 + 0.5*F119</f>
        <v>0.0350132479285298</v>
      </c>
    </row>
    <row r="120" customFormat="false" ht="13.8" hidden="false" customHeight="false" outlineLevel="0" collapsed="false">
      <c r="A120" s="4" t="n">
        <v>41944</v>
      </c>
      <c r="B120" s="1" t="n">
        <f aca="false">Data!C120-Data!$B120</f>
        <v>0.0268240343347639</v>
      </c>
      <c r="C120" s="1" t="n">
        <f aca="false">Data!D120-Data!$B120</f>
        <v>0.0126084916725309</v>
      </c>
      <c r="D120" s="1" t="n">
        <f aca="false">Data!E120-Data!$B120</f>
        <v>0.003939223410242</v>
      </c>
      <c r="E120" s="1" t="n">
        <f aca="false">Data!F120-Data!$B120</f>
        <v>0.00138326234269126</v>
      </c>
      <c r="F120" s="1" t="n">
        <f aca="false">Data!G120-Data!$B120</f>
        <v>0.00874890638670167</v>
      </c>
      <c r="H120" s="1" t="n">
        <f aca="false">0.5*D120 + 0.5*F120</f>
        <v>0.00634406489847184</v>
      </c>
    </row>
    <row r="121" customFormat="false" ht="13.8" hidden="false" customHeight="false" outlineLevel="0" collapsed="false">
      <c r="A121" s="4" t="n">
        <v>41974</v>
      </c>
      <c r="B121" s="1" t="n">
        <f aca="false">Data!C121-Data!$B121</f>
        <v>-0.00264339739843289</v>
      </c>
      <c r="C121" s="1" t="n">
        <f aca="false">Data!D121-Data!$B121</f>
        <v>0.0162729291913453</v>
      </c>
      <c r="D121" s="1" t="n">
        <f aca="false">Data!E121-Data!$B121</f>
        <v>0.0265148810373881</v>
      </c>
      <c r="E121" s="1" t="n">
        <f aca="false">Data!F121-Data!$B121</f>
        <v>-0.00677443882209794</v>
      </c>
      <c r="F121" s="1" t="n">
        <f aca="false">Data!G121-Data!$B121</f>
        <v>-0.00260190806591498</v>
      </c>
      <c r="H121" s="1" t="n">
        <f aca="false">0.5*D121 + 0.5*F121</f>
        <v>0.0119564864857366</v>
      </c>
    </row>
    <row r="122" customFormat="false" ht="13.8" hidden="false" customHeight="false" outlineLevel="0" collapsed="false">
      <c r="A122" s="4" t="n">
        <v>42005</v>
      </c>
      <c r="B122" s="1" t="n">
        <f aca="false">Data!C122-Data!$B122</f>
        <v>-0.0301753646848175</v>
      </c>
      <c r="C122" s="1" t="n">
        <f aca="false">Data!D122-Data!$B122</f>
        <v>0.0550513139941864</v>
      </c>
      <c r="D122" s="1" t="n">
        <f aca="false">Data!E122-Data!$B122</f>
        <v>0.0185915492957745</v>
      </c>
      <c r="E122" s="1" t="n">
        <f aca="false">Data!F122-Data!$B122</f>
        <v>0.00285390438247024</v>
      </c>
      <c r="F122" s="1" t="n">
        <f aca="false">Data!G122-Data!$B122</f>
        <v>0.011304347826087</v>
      </c>
      <c r="H122" s="1" t="n">
        <f aca="false">0.5*D122 + 0.5*F122</f>
        <v>0.0149479485609308</v>
      </c>
    </row>
    <row r="123" customFormat="false" ht="13.8" hidden="false" customHeight="false" outlineLevel="0" collapsed="false">
      <c r="A123" s="4" t="n">
        <v>42036</v>
      </c>
      <c r="B123" s="1" t="n">
        <f aca="false">Data!C123-Data!$B123</f>
        <v>0.0573957428323197</v>
      </c>
      <c r="C123" s="1" t="n">
        <f aca="false">Data!D123-Data!$B123</f>
        <v>0.0552150688782682</v>
      </c>
      <c r="D123" s="1" t="n">
        <f aca="false">Data!E123-Data!$B123</f>
        <v>-0.0464601769911505</v>
      </c>
      <c r="E123" s="1" t="n">
        <f aca="false">Data!F123-Data!$B123</f>
        <v>0.00487188866799193</v>
      </c>
      <c r="F123" s="1" t="n">
        <f aca="false">Data!G123-Data!$B123</f>
        <v>-0.0206362854686156</v>
      </c>
      <c r="H123" s="1" t="n">
        <f aca="false">0.5*D123 + 0.5*F123</f>
        <v>-0.0335482312298831</v>
      </c>
    </row>
    <row r="124" customFormat="false" ht="13.8" hidden="false" customHeight="false" outlineLevel="0" collapsed="false">
      <c r="A124" s="4" t="n">
        <v>42064</v>
      </c>
      <c r="B124" s="1" t="n">
        <f aca="false">Data!C124-Data!$B124</f>
        <v>-0.0159366891700888</v>
      </c>
      <c r="C124" s="1" t="n">
        <f aca="false">Data!D124-Data!$B124</f>
        <v>0.0276016411786648</v>
      </c>
      <c r="D124" s="1" t="n">
        <f aca="false">Data!E124-Data!$B124</f>
        <v>-0.0101112243282133</v>
      </c>
      <c r="E124" s="1" t="n">
        <f aca="false">Data!F124-Data!$B124</f>
        <v>-7.70495049505771E-005</v>
      </c>
      <c r="F124" s="1" t="n">
        <f aca="false">Data!G124-Data!$B124</f>
        <v>0.0114135206321333</v>
      </c>
      <c r="H124" s="1" t="n">
        <f aca="false">0.5*D124 + 0.5*F124</f>
        <v>0.00065114815196</v>
      </c>
    </row>
    <row r="125" customFormat="false" ht="13.8" hidden="false" customHeight="false" outlineLevel="0" collapsed="false">
      <c r="A125" s="4" t="n">
        <v>42095</v>
      </c>
      <c r="B125" s="1" t="n">
        <f aca="false">Data!C125-Data!$B125</f>
        <v>0.00949084998164751</v>
      </c>
      <c r="C125" s="1" t="n">
        <f aca="false">Data!D125-Data!$B125</f>
        <v>-0.054705729841846</v>
      </c>
      <c r="D125" s="1" t="n">
        <f aca="false">Data!E125-Data!$B125</f>
        <v>0.00117994100294983</v>
      </c>
      <c r="E125" s="1" t="n">
        <f aca="false">Data!F125-Data!$B125</f>
        <v>-0.000636679881070412</v>
      </c>
      <c r="F125" s="1" t="n">
        <f aca="false">Data!G125-Data!$B125</f>
        <v>-0.0121527777777777</v>
      </c>
      <c r="H125" s="1" t="n">
        <f aca="false">0.5*D125 + 0.5*F125</f>
        <v>-0.00548641838741394</v>
      </c>
    </row>
    <row r="126" customFormat="false" ht="13.8" hidden="false" customHeight="false" outlineLevel="0" collapsed="false">
      <c r="A126" s="4" t="n">
        <v>42125</v>
      </c>
      <c r="B126" s="1" t="n">
        <f aca="false">Data!C126-Data!$B126</f>
        <v>0.0127259505505921</v>
      </c>
      <c r="C126" s="1" t="n">
        <f aca="false">Data!D126-Data!$B126</f>
        <v>0.100109709270433</v>
      </c>
      <c r="D126" s="1" t="n">
        <f aca="false">Data!E126-Data!$B126</f>
        <v>-0.00117855038302883</v>
      </c>
      <c r="E126" s="1" t="n">
        <f aca="false">Data!F126-Data!$B126</f>
        <v>0.0005550795228626</v>
      </c>
      <c r="F126" s="1" t="n">
        <f aca="false">Data!G126-Data!$B126</f>
        <v>0.00790861159929701</v>
      </c>
      <c r="H126" s="1" t="n">
        <f aca="false">0.5*D126 + 0.5*F126</f>
        <v>0.00336503060813409</v>
      </c>
    </row>
    <row r="127" customFormat="false" ht="13.8" hidden="false" customHeight="false" outlineLevel="0" collapsed="false">
      <c r="A127" s="4" t="n">
        <v>42156</v>
      </c>
      <c r="B127" s="1" t="n">
        <f aca="false">Data!C127-Data!$B127</f>
        <v>-0.0193291696824253</v>
      </c>
      <c r="C127" s="1" t="n">
        <f aca="false">Data!D127-Data!$B127</f>
        <v>0.00553477935676883</v>
      </c>
      <c r="D127" s="1" t="n">
        <f aca="false">Data!E127-Data!$B127</f>
        <v>-0.0596951643802242</v>
      </c>
      <c r="E127" s="1" t="n">
        <f aca="false">Data!F127-Data!$B127</f>
        <v>-0.00115523904382464</v>
      </c>
      <c r="F127" s="1" t="n">
        <f aca="false">Data!G127-Data!$B127</f>
        <v>-0.00871839581517009</v>
      </c>
      <c r="H127" s="1" t="n">
        <f aca="false">0.5*D127 + 0.5*F127</f>
        <v>-0.0342067800976972</v>
      </c>
    </row>
    <row r="128" customFormat="false" ht="13.8" hidden="false" customHeight="false" outlineLevel="0" collapsed="false">
      <c r="A128" s="4" t="n">
        <v>42186</v>
      </c>
      <c r="B128" s="1" t="n">
        <f aca="false">Data!C128-Data!$B128</f>
        <v>0.0208026896406808</v>
      </c>
      <c r="C128" s="1" t="n">
        <f aca="false">Data!D128-Data!$B128</f>
        <v>0.0206287811167312</v>
      </c>
      <c r="D128" s="1" t="n">
        <f aca="false">Data!E128-Data!$B128</f>
        <v>0.0467466835123185</v>
      </c>
      <c r="E128" s="1" t="n">
        <f aca="false">Data!F128-Data!$B128</f>
        <v>0.00143084915084923</v>
      </c>
      <c r="F128" s="1" t="n">
        <f aca="false">Data!G128-Data!$B128</f>
        <v>0.0255057167985928</v>
      </c>
      <c r="H128" s="1" t="n">
        <f aca="false">0.5*D128 + 0.5*F128</f>
        <v>0.0361262001554556</v>
      </c>
    </row>
    <row r="129" customFormat="false" ht="13.8" hidden="false" customHeight="false" outlineLevel="0" collapsed="false">
      <c r="A129" s="4" t="n">
        <v>42217</v>
      </c>
      <c r="B129" s="1" t="n">
        <f aca="false">Data!C129-Data!$B129</f>
        <v>-0.0604158089748867</v>
      </c>
      <c r="C129" s="1" t="n">
        <f aca="false">Data!D129-Data!$B129</f>
        <v>-0.101982314643863</v>
      </c>
      <c r="D129" s="1" t="n">
        <f aca="false">Data!E129-Data!$B129</f>
        <v>-0.0422450211225106</v>
      </c>
      <c r="E129" s="1" t="n">
        <f aca="false">Data!F129-Data!$B129</f>
        <v>-0.00462703999999992</v>
      </c>
      <c r="F129" s="1" t="n">
        <f aca="false">Data!G129-Data!$B129</f>
        <v>-0.00600343053173247</v>
      </c>
      <c r="H129" s="1" t="n">
        <f aca="false">0.5*D129 + 0.5*F129</f>
        <v>-0.0241242258271215</v>
      </c>
    </row>
    <row r="130" customFormat="false" ht="13.8" hidden="false" customHeight="false" outlineLevel="0" collapsed="false">
      <c r="A130" s="4" t="n">
        <v>42248</v>
      </c>
      <c r="B130" s="1" t="n">
        <f aca="false">Data!C130-Data!$B130</f>
        <v>-0.0249003440274845</v>
      </c>
      <c r="C130" s="1" t="n">
        <f aca="false">Data!D130-Data!$B130</f>
        <v>-0.1245468809176</v>
      </c>
      <c r="D130" s="1" t="n">
        <f aca="false">Data!E130-Data!$B130</f>
        <v>0.0208383718232834</v>
      </c>
      <c r="E130" s="1" t="n">
        <f aca="false">Data!F130-Data!$B130</f>
        <v>-0.00426277945619336</v>
      </c>
      <c r="F130" s="1" t="n">
        <f aca="false">Data!G130-Data!$B130</f>
        <v>0.0500431406384814</v>
      </c>
      <c r="H130" s="1" t="n">
        <f aca="false">0.5*D130 + 0.5*F130</f>
        <v>0.0354407562308824</v>
      </c>
    </row>
    <row r="131" customFormat="false" ht="13.8" hidden="false" customHeight="false" outlineLevel="0" collapsed="false">
      <c r="A131" s="4" t="n">
        <v>42278</v>
      </c>
      <c r="B131" s="1" t="n">
        <f aca="false">Data!C131-Data!$B131</f>
        <v>0.0842271649542736</v>
      </c>
      <c r="C131" s="1" t="n">
        <f aca="false">Data!D131-Data!$B131</f>
        <v>0.0595760459798529</v>
      </c>
      <c r="D131" s="1" t="n">
        <f aca="false">Data!E131-Data!$B131</f>
        <v>0.0180348258706469</v>
      </c>
      <c r="E131" s="1" t="n">
        <f aca="false">Data!F131-Data!$B131</f>
        <v>0.00550862208713299</v>
      </c>
      <c r="F131" s="1" t="n">
        <f aca="false">Data!G131-Data!$B131</f>
        <v>-0.00493015612161052</v>
      </c>
      <c r="H131" s="1" t="n">
        <f aca="false">0.5*D131 + 0.5*F131</f>
        <v>0.00655233487451819</v>
      </c>
    </row>
    <row r="132" customFormat="false" ht="13.8" hidden="false" customHeight="false" outlineLevel="0" collapsed="false">
      <c r="A132" s="4" t="n">
        <v>42309</v>
      </c>
      <c r="B132" s="1" t="n">
        <f aca="false">Data!C132-Data!$B132</f>
        <v>0.00286368843069873</v>
      </c>
      <c r="C132" s="1" t="n">
        <f aca="false">Data!D132-Data!$B132</f>
        <v>0.0428696412948384</v>
      </c>
      <c r="D132" s="1" t="n">
        <f aca="false">Data!E132-Data!$B132</f>
        <v>-0.0238240684178376</v>
      </c>
      <c r="E132" s="1" t="n">
        <f aca="false">Data!F132-Data!$B132</f>
        <v>-0.000825388496468182</v>
      </c>
      <c r="F132" s="1" t="n">
        <f aca="false">Data!G132-Data!$B132</f>
        <v>-0.00660611065235339</v>
      </c>
      <c r="H132" s="1" t="n">
        <f aca="false">0.5*D132 + 0.5*F132</f>
        <v>-0.0152150895350955</v>
      </c>
    </row>
    <row r="133" customFormat="false" ht="13.8" hidden="false" customHeight="false" outlineLevel="0" collapsed="false">
      <c r="A133" s="4" t="n">
        <v>42339</v>
      </c>
      <c r="B133" s="1" t="n">
        <f aca="false">Data!C133-Data!$B133</f>
        <v>-0.0160258615808687</v>
      </c>
      <c r="C133" s="1" t="n">
        <f aca="false">Data!D133-Data!$B133</f>
        <v>-0.00549453734737594</v>
      </c>
      <c r="D133" s="1" t="n">
        <f aca="false">Data!E133-Data!$B133</f>
        <v>0.00716533166458077</v>
      </c>
      <c r="E133" s="1" t="n">
        <f aca="false">Data!F133-Data!$B133</f>
        <v>-0.000472872607096175</v>
      </c>
      <c r="F133" s="1" t="n">
        <f aca="false">Data!G133-Data!$B133</f>
        <v>0.00837921518517758</v>
      </c>
      <c r="H133" s="1" t="n">
        <f aca="false">0.5*D133 + 0.5*F133</f>
        <v>0.00777227342487918</v>
      </c>
    </row>
    <row r="134" customFormat="false" ht="13.8" hidden="false" customHeight="false" outlineLevel="0" collapsed="false">
      <c r="A134" s="4" t="n">
        <v>42370</v>
      </c>
      <c r="B134" s="1" t="n">
        <f aca="false">Data!C134-Data!$B134</f>
        <v>-0.0498665534804753</v>
      </c>
      <c r="C134" s="1" t="n">
        <f aca="false">Data!D134-Data!$B134</f>
        <v>-0.229279405649994</v>
      </c>
      <c r="D134" s="1" t="n">
        <f aca="false">Data!E134-Data!$B134</f>
        <v>0.0401075226977949</v>
      </c>
      <c r="E134" s="1" t="n">
        <f aca="false">Data!F134-Data!$B134</f>
        <v>0.000712606490872225</v>
      </c>
      <c r="F134" s="1" t="n">
        <f aca="false">Data!G134-Data!$B134</f>
        <v>0.0122660346248968</v>
      </c>
      <c r="H134" s="1" t="n">
        <f aca="false">0.5*D134 + 0.5*F134</f>
        <v>0.0261867786613459</v>
      </c>
    </row>
    <row r="135" customFormat="false" ht="13.8" hidden="false" customHeight="false" outlineLevel="0" collapsed="false">
      <c r="A135" s="4" t="n">
        <v>42401</v>
      </c>
      <c r="B135" s="1" t="n">
        <f aca="false">Data!C135-Data!$B135</f>
        <v>-0.00165170295924058</v>
      </c>
      <c r="C135" s="1" t="n">
        <f aca="false">Data!D135-Data!$B135</f>
        <v>-0.0638998254799303</v>
      </c>
      <c r="D135" s="1" t="n">
        <f aca="false">Data!E135-Data!$B135</f>
        <v>0.0216204488778055</v>
      </c>
      <c r="E135" s="1" t="n">
        <f aca="false">Data!F135-Data!$B135</f>
        <v>-0.00570287018255569</v>
      </c>
      <c r="F135" s="1" t="n">
        <f aca="false">Data!G135-Data!$B135</f>
        <v>0.0152723127035832</v>
      </c>
      <c r="H135" s="1" t="n">
        <f aca="false">0.5*D135 + 0.5*F135</f>
        <v>0.0184463807906944</v>
      </c>
    </row>
    <row r="136" customFormat="false" ht="13.8" hidden="false" customHeight="false" outlineLevel="0" collapsed="false">
      <c r="A136" s="4" t="n">
        <v>42430</v>
      </c>
      <c r="B136" s="1" t="n">
        <f aca="false">Data!C136-Data!$B136</f>
        <v>0.0675543758121744</v>
      </c>
      <c r="C136" s="1" t="n">
        <f aca="false">Data!D136-Data!$B136</f>
        <v>0.0458052529018045</v>
      </c>
      <c r="D136" s="1" t="n">
        <f aca="false">Data!E136-Data!$B136</f>
        <v>0.0793955775867063</v>
      </c>
      <c r="E136" s="1" t="n">
        <f aca="false">Data!F136-Data!$B136</f>
        <v>0.00863254081632634</v>
      </c>
      <c r="F136" s="1" t="n">
        <f aca="false">Data!G136-Data!$B136</f>
        <v>-0.00501154771451486</v>
      </c>
      <c r="H136" s="1" t="n">
        <f aca="false">0.5*D136 + 0.5*F136</f>
        <v>0.0371920149360957</v>
      </c>
    </row>
    <row r="137" customFormat="false" ht="13.8" hidden="false" customHeight="false" outlineLevel="0" collapsed="false">
      <c r="A137" s="4" t="n">
        <v>42461</v>
      </c>
      <c r="B137" s="1" t="n">
        <f aca="false">Data!C137-Data!$B137</f>
        <v>0.00363703879151521</v>
      </c>
      <c r="C137" s="1" t="n">
        <f aca="false">Data!D137-Data!$B137</f>
        <v>0.0380500080997894</v>
      </c>
      <c r="D137" s="1" t="n">
        <f aca="false">Data!E137-Data!$B137</f>
        <v>-0.0166054069436539</v>
      </c>
      <c r="E137" s="1" t="n">
        <f aca="false">Data!F137-Data!$B137</f>
        <v>0.0033088145896658</v>
      </c>
      <c r="F137" s="1" t="n">
        <f aca="false">Data!G137-Data!$B137</f>
        <v>-0.0178276390008059</v>
      </c>
      <c r="H137" s="1" t="n">
        <f aca="false">0.5*D137 + 0.5*F137</f>
        <v>-0.0172165229722299</v>
      </c>
    </row>
    <row r="138" customFormat="false" ht="13.8" hidden="false" customHeight="false" outlineLevel="0" collapsed="false">
      <c r="A138" s="4" t="n">
        <v>42491</v>
      </c>
      <c r="B138" s="1" t="n">
        <f aca="false">Data!C138-Data!$B138</f>
        <v>0.0177290508652335</v>
      </c>
      <c r="C138" s="1" t="n">
        <f aca="false">Data!D138-Data!$B138</f>
        <v>0.0597423968167279</v>
      </c>
      <c r="D138" s="1" t="n">
        <f aca="false">Data!E138-Data!$B138</f>
        <v>0.0201546296296295</v>
      </c>
      <c r="E138" s="1" t="n">
        <f aca="false">Data!F138-Data!$B138</f>
        <v>0.000767573306370106</v>
      </c>
      <c r="F138" s="1" t="n">
        <f aca="false">Data!G138-Data!$B138</f>
        <v>-0.018147579983593</v>
      </c>
      <c r="H138" s="1" t="n">
        <f aca="false">0.5*D138 + 0.5*F138</f>
        <v>0.00100352482301825</v>
      </c>
    </row>
    <row r="139" customFormat="false" ht="13.8" hidden="false" customHeight="false" outlineLevel="0" collapsed="false">
      <c r="A139" s="4" t="n">
        <v>42522</v>
      </c>
      <c r="B139" s="1" t="n">
        <f aca="false">Data!C139-Data!$B139</f>
        <v>0.00229965338398694</v>
      </c>
      <c r="C139" s="1" t="n">
        <f aca="false">Data!D139-Data!$B139</f>
        <v>-0.0745521790341579</v>
      </c>
      <c r="D139" s="1" t="n">
        <f aca="false">Data!E139-Data!$B139</f>
        <v>0.0725728418632414</v>
      </c>
      <c r="E139" s="1" t="n">
        <f aca="false">Data!F139-Data!$B139</f>
        <v>0.00178109311740891</v>
      </c>
      <c r="F139" s="1" t="n">
        <f aca="false">Data!G139-Data!$B139</f>
        <v>-0.0127313283208021</v>
      </c>
      <c r="H139" s="1" t="n">
        <f aca="false">0.5*D139 + 0.5*F139</f>
        <v>0.0299207567712196</v>
      </c>
    </row>
    <row r="140" customFormat="false" ht="13.8" hidden="false" customHeight="false" outlineLevel="0" collapsed="false">
      <c r="A140" s="4" t="n">
        <v>42552</v>
      </c>
      <c r="B140" s="1" t="n">
        <f aca="false">Data!C140-Data!$B140</f>
        <v>0.0365635668921362</v>
      </c>
      <c r="C140" s="1" t="n">
        <f aca="false">Data!D140-Data!$B140</f>
        <v>0.100722538571656</v>
      </c>
      <c r="D140" s="1" t="n">
        <f aca="false">Data!E140-Data!$B140</f>
        <v>-0.00711857370941984</v>
      </c>
      <c r="E140" s="1" t="n">
        <f aca="false">Data!F140-Data!$B140</f>
        <v>0.000610769230769282</v>
      </c>
      <c r="F140" s="1" t="n">
        <f aca="false">Data!G140-Data!$B140</f>
        <v>0.00656818950930636</v>
      </c>
      <c r="H140" s="1" t="n">
        <f aca="false">0.5*D140 + 0.5*F140</f>
        <v>-0.000275192100056739</v>
      </c>
    </row>
    <row r="141" customFormat="false" ht="13.8" hidden="false" customHeight="false" outlineLevel="0" collapsed="false">
      <c r="A141" s="4" t="n">
        <v>42583</v>
      </c>
      <c r="B141" s="1" t="n">
        <f aca="false">Data!C141-Data!$B141</f>
        <v>0.00109488520344645</v>
      </c>
      <c r="C141" s="1" t="n">
        <f aca="false">Data!D141-Data!$B141</f>
        <v>-0.0150811673770136</v>
      </c>
      <c r="D141" s="1" t="n">
        <f aca="false">Data!E141-Data!$B141</f>
        <v>-0.0495033226152199</v>
      </c>
      <c r="E141" s="1" t="n">
        <f aca="false">Data!F141-Data!$B141</f>
        <v>0.00136902735562303</v>
      </c>
      <c r="F141" s="1" t="n">
        <f aca="false">Data!G141-Data!$B141</f>
        <v>-0.0203680672268908</v>
      </c>
      <c r="H141" s="1" t="n">
        <f aca="false">0.5*D141 + 0.5*F141</f>
        <v>-0.0349356949210553</v>
      </c>
    </row>
    <row r="142" customFormat="false" ht="13.8" hidden="false" customHeight="false" outlineLevel="0" collapsed="false">
      <c r="A142" s="4" t="n">
        <v>42614</v>
      </c>
      <c r="B142" s="1" t="n">
        <f aca="false">Data!C142-Data!$B142</f>
        <v>-0.00011818521372533</v>
      </c>
      <c r="C142" s="1" t="n">
        <f aca="false">Data!D142-Data!$B142</f>
        <v>0.0558973821221678</v>
      </c>
      <c r="D142" s="1" t="n">
        <f aca="false">Data!E142-Data!$B142</f>
        <v>0.0125865089809871</v>
      </c>
      <c r="E142" s="1" t="n">
        <f aca="false">Data!F142-Data!$B142</f>
        <v>0.00314466058763949</v>
      </c>
      <c r="F142" s="1" t="n">
        <f aca="false">Data!G142-Data!$B142</f>
        <v>0.00494579759862777</v>
      </c>
      <c r="H142" s="1" t="n">
        <f aca="false">0.5*D142 + 0.5*F142</f>
        <v>0.00876615328980744</v>
      </c>
    </row>
    <row r="143" customFormat="false" ht="13.8" hidden="false" customHeight="false" outlineLevel="0" collapsed="false">
      <c r="A143" s="4" t="n">
        <v>42644</v>
      </c>
      <c r="B143" s="1" t="n">
        <f aca="false">Data!C143-Data!$B143</f>
        <v>-0.0185307527096549</v>
      </c>
      <c r="C143" s="1" t="n">
        <f aca="false">Data!D143-Data!$B143</f>
        <v>-0.107129593112068</v>
      </c>
      <c r="D143" s="1" t="n">
        <f aca="false">Data!E143-Data!$B143</f>
        <v>0.00148067226890734</v>
      </c>
      <c r="E143" s="1" t="n">
        <f aca="false">Data!F143-Data!$B143</f>
        <v>0.000140777777777745</v>
      </c>
      <c r="F143" s="1" t="n">
        <f aca="false">Data!G143-Data!$B143</f>
        <v>0.006625938566553</v>
      </c>
      <c r="H143" s="1" t="n">
        <f aca="false">0.5*D143 + 0.5*F143</f>
        <v>0.00405330541773017</v>
      </c>
    </row>
    <row r="144" customFormat="false" ht="13.8" hidden="false" customHeight="false" outlineLevel="0" collapsed="false">
      <c r="A144" s="4" t="n">
        <v>42675</v>
      </c>
      <c r="B144" s="1" t="n">
        <f aca="false">Data!C144-Data!$B144</f>
        <v>0.0368899257148674</v>
      </c>
      <c r="C144" s="1" t="n">
        <f aca="false">Data!D144-Data!$B144</f>
        <v>0.0897771575182709</v>
      </c>
      <c r="D144" s="1" t="n">
        <f aca="false">Data!E144-Data!$B144</f>
        <v>-0.0437241610738254</v>
      </c>
      <c r="E144" s="1" t="n">
        <f aca="false">Data!F144-Data!$B144</f>
        <v>-0.00545777553083927</v>
      </c>
      <c r="F144" s="1" t="n">
        <f aca="false">Data!G144-Data!$B144</f>
        <v>0.0405779661016947</v>
      </c>
      <c r="H144" s="1" t="n">
        <f aca="false">0.5*D144 + 0.5*F144</f>
        <v>-0.00157309748606535</v>
      </c>
    </row>
    <row r="145" customFormat="false" ht="13.8" hidden="false" customHeight="false" outlineLevel="0" collapsed="false">
      <c r="A145" s="4" t="n">
        <v>42705</v>
      </c>
      <c r="B145" s="1" t="n">
        <f aca="false">Data!C145-Data!$B145</f>
        <v>0.0193261876640143</v>
      </c>
      <c r="C145" s="1" t="n">
        <f aca="false">Data!D145-Data!$B145</f>
        <v>-0.0338179671679425</v>
      </c>
      <c r="D145" s="1" t="n">
        <f aca="false">Data!E145-Data!$B145</f>
        <v>0.0405705135831844</v>
      </c>
      <c r="E145" s="1" t="n">
        <f aca="false">Data!F145-Data!$B145</f>
        <v>0.00419235234215872</v>
      </c>
      <c r="F145" s="1" t="n">
        <f aca="false">Data!G145-Data!$B145</f>
        <v>0.0124819297047391</v>
      </c>
      <c r="H145" s="1" t="n">
        <f aca="false">0.5*D145 + 0.5*F145</f>
        <v>0.0265262216439617</v>
      </c>
    </row>
    <row r="146" customFormat="false" ht="13.8" hidden="false" customHeight="false" outlineLevel="0" collapsed="false">
      <c r="A146" s="4" t="n">
        <v>42736</v>
      </c>
      <c r="B146" s="1" t="n">
        <f aca="false">Data!C146-Data!$B146</f>
        <v>0.0184313888754419</v>
      </c>
      <c r="C146" s="1" t="n">
        <f aca="false">Data!D146-Data!$B146</f>
        <v>0.0559782199598952</v>
      </c>
      <c r="D146" s="1" t="n">
        <f aca="false">Data!E146-Data!$B146</f>
        <v>0.010931444759207</v>
      </c>
      <c r="E146" s="1" t="n">
        <f aca="false">Data!F146-Data!$B146</f>
        <v>0.00085663959390865</v>
      </c>
      <c r="F146" s="1" t="n">
        <f aca="false">Data!G146-Data!$B146</f>
        <v>-0.0181562550443907</v>
      </c>
      <c r="H146" s="1" t="n">
        <f aca="false">0.5*D146 + 0.5*F146</f>
        <v>-0.00361240514259185</v>
      </c>
    </row>
    <row r="147" customFormat="false" ht="13.8" hidden="false" customHeight="false" outlineLevel="0" collapsed="false">
      <c r="A147" s="4" t="n">
        <v>42767</v>
      </c>
      <c r="B147" s="1" t="n">
        <f aca="false">Data!C147-Data!$B147</f>
        <v>0.0392274826570371</v>
      </c>
      <c r="C147" s="1" t="n">
        <f aca="false">Data!D147-Data!$B147</f>
        <v>0.0790334525808571</v>
      </c>
      <c r="D147" s="1" t="n">
        <f aca="false">Data!E147-Data!$B147</f>
        <v>0.0466588235294118</v>
      </c>
      <c r="E147" s="1" t="n">
        <f aca="false">Data!F147-Data!$B147</f>
        <v>0.00194654822335023</v>
      </c>
      <c r="F147" s="1" t="n">
        <f aca="false">Data!G147-Data!$B147</f>
        <v>-0.0028650780608052</v>
      </c>
      <c r="H147" s="1" t="n">
        <f aca="false">0.5*D147 + 0.5*F147</f>
        <v>0.0218968727343033</v>
      </c>
    </row>
    <row r="148" customFormat="false" ht="13.8" hidden="false" customHeight="false" outlineLevel="0" collapsed="false">
      <c r="A148" s="4" t="n">
        <v>42795</v>
      </c>
      <c r="B148" s="1" t="n">
        <f aca="false">Data!C148-Data!$B148</f>
        <v>0.00070050029716892</v>
      </c>
      <c r="C148" s="1" t="n">
        <f aca="false">Data!D148-Data!$B148</f>
        <v>-0.0109865065945214</v>
      </c>
      <c r="D148" s="1" t="n">
        <f aca="false">Data!E148-Data!$B148</f>
        <v>0.00269941394260106</v>
      </c>
      <c r="E148" s="1" t="n">
        <f aca="false">Data!F148-Data!$B148</f>
        <v>0.00019355983772803</v>
      </c>
      <c r="F148" s="1" t="n">
        <f aca="false">Data!G148-Data!$B148</f>
        <v>-0.00438553038471426</v>
      </c>
      <c r="H148" s="1" t="n">
        <f aca="false">0.5*D148 + 0.5*F148</f>
        <v>-0.0008430582210566</v>
      </c>
    </row>
    <row r="149" customFormat="false" ht="13.8" hidden="false" customHeight="false" outlineLevel="0" collapsed="false">
      <c r="A149" s="4" t="n">
        <v>42826</v>
      </c>
      <c r="B149" s="1" t="n">
        <f aca="false">Data!C149-Data!$B149</f>
        <v>0.0096811511121301</v>
      </c>
      <c r="C149" s="1" t="n">
        <f aca="false">Data!D149-Data!$B149</f>
        <v>0.00599483831270925</v>
      </c>
      <c r="D149" s="1" t="n">
        <f aca="false">Data!E149-Data!$B149</f>
        <v>0.00701476113794958</v>
      </c>
      <c r="E149" s="1" t="n">
        <f aca="false">Data!F149-Data!$B149</f>
        <v>0.00196018274111659</v>
      </c>
      <c r="F149" s="1" t="n">
        <f aca="false">Data!G149-Data!$B149</f>
        <v>-0.00132712985938793</v>
      </c>
      <c r="H149" s="1" t="n">
        <f aca="false">0.5*D149 + 0.5*F149</f>
        <v>0.00284381563928082</v>
      </c>
    </row>
    <row r="150" customFormat="false" ht="13.8" hidden="false" customHeight="false" outlineLevel="0" collapsed="false">
      <c r="A150" s="4" t="n">
        <v>42856</v>
      </c>
      <c r="B150" s="1" t="n">
        <f aca="false">Data!C150-Data!$B150</f>
        <v>0.0133374404140373</v>
      </c>
      <c r="C150" s="1" t="n">
        <f aca="false">Data!D150-Data!$B150</f>
        <v>-0.0706991713082462</v>
      </c>
      <c r="D150" s="1" t="n">
        <f aca="false">Data!E150-Data!$B150</f>
        <v>0.0334969632392116</v>
      </c>
      <c r="E150" s="1" t="n">
        <f aca="false">Data!F150-Data!$B150</f>
        <v>0.00061747464503041</v>
      </c>
      <c r="F150" s="1" t="n">
        <f aca="false">Data!G150-Data!$B150</f>
        <v>-0.022123178807947</v>
      </c>
      <c r="H150" s="1" t="n">
        <f aca="false">0.5*D150 + 0.5*F150</f>
        <v>0.0056868922156323</v>
      </c>
    </row>
    <row r="151" customFormat="false" ht="13.8" hidden="false" customHeight="false" outlineLevel="0" collapsed="false">
      <c r="A151" s="4" t="n">
        <v>42887</v>
      </c>
      <c r="B151" s="1" t="n">
        <f aca="false">Data!C151-Data!$B151</f>
        <v>0.00551578182993622</v>
      </c>
      <c r="C151" s="1" t="n">
        <f aca="false">Data!D151-Data!$B151</f>
        <v>0.0896848794740685</v>
      </c>
      <c r="D151" s="1" t="n">
        <f aca="false">Data!E151-Data!$B151</f>
        <v>-0.0255206299912329</v>
      </c>
      <c r="E151" s="1" t="n">
        <f aca="false">Data!F151-Data!$B151</f>
        <v>-0.00049298174442176</v>
      </c>
      <c r="F151" s="1" t="n">
        <f aca="false">Data!G151-Data!$B151</f>
        <v>0.00109204737732653</v>
      </c>
      <c r="H151" s="1" t="n">
        <f aca="false">0.5*D151 + 0.5*F151</f>
        <v>-0.0122142913069532</v>
      </c>
    </row>
    <row r="152" customFormat="false" ht="13.8" hidden="false" customHeight="false" outlineLevel="0" collapsed="false">
      <c r="A152" s="4" t="n">
        <v>42917</v>
      </c>
      <c r="B152" s="1" t="n">
        <f aca="false">Data!C152-Data!$B152</f>
        <v>0.0197245810055865</v>
      </c>
      <c r="C152" s="1" t="n">
        <f aca="false">Data!D152-Data!$B152</f>
        <v>0.0271038322390459</v>
      </c>
      <c r="D152" s="1" t="n">
        <f aca="false">Data!E152-Data!$B152</f>
        <v>0.0210969165337586</v>
      </c>
      <c r="E152" s="1" t="n">
        <f aca="false">Data!F152-Data!$B152</f>
        <v>0.00234535025380703</v>
      </c>
      <c r="F152" s="1" t="n">
        <f aca="false">Data!G152-Data!$B152</f>
        <v>0.00859054054054057</v>
      </c>
      <c r="H152" s="1" t="n">
        <f aca="false">0.5*D152 + 0.5*F152</f>
        <v>0.0148437285371496</v>
      </c>
    </row>
    <row r="153" customFormat="false" ht="13.8" hidden="false" customHeight="false" outlineLevel="0" collapsed="false">
      <c r="A153" s="4" t="n">
        <v>42948</v>
      </c>
      <c r="B153" s="1" t="n">
        <f aca="false">Data!C153-Data!$B153</f>
        <v>0.00203447792571833</v>
      </c>
      <c r="C153" s="1" t="n">
        <f aca="false">Data!D153-Data!$B153</f>
        <v>0.0508567303304869</v>
      </c>
      <c r="D153" s="1" t="n">
        <f aca="false">Data!E153-Data!$B153</f>
        <v>0.0297971904266389</v>
      </c>
      <c r="E153" s="1" t="n">
        <f aca="false">Data!F153-Data!$B153</f>
        <v>0.00320885511651493</v>
      </c>
      <c r="F153" s="1" t="n">
        <f aca="false">Data!G153-Data!$B153</f>
        <v>-0.0142891213389121</v>
      </c>
      <c r="H153" s="1" t="n">
        <f aca="false">0.5*D153 + 0.5*F153</f>
        <v>0.0077540345438634</v>
      </c>
    </row>
    <row r="154" customFormat="false" ht="13.8" hidden="false" customHeight="false" outlineLevel="0" collapsed="false">
      <c r="A154" s="4" t="n">
        <v>42979</v>
      </c>
      <c r="B154" s="1" t="n">
        <f aca="false">Data!C154-Data!$B154</f>
        <v>0.0196908592338404</v>
      </c>
      <c r="C154" s="1" t="n">
        <f aca="false">Data!D154-Data!$B154</f>
        <v>0.0099459869848157</v>
      </c>
      <c r="D154" s="1" t="n">
        <f aca="false">Data!E154-Data!$B154</f>
        <v>-0.0267894613330455</v>
      </c>
      <c r="E154" s="1" t="n">
        <f aca="false">Data!F154-Data!$B154</f>
        <v>0.00011379797979795</v>
      </c>
      <c r="F154" s="1" t="n">
        <f aca="false">Data!G154-Data!$B154</f>
        <v>-5.1823579304432E-005</v>
      </c>
      <c r="H154" s="1" t="n">
        <f aca="false">0.5*D154 + 0.5*F154</f>
        <v>-0.013420642456175</v>
      </c>
    </row>
    <row r="155" customFormat="false" ht="13.8" hidden="false" customHeight="false" outlineLevel="0" collapsed="false">
      <c r="A155" s="4" t="n">
        <v>43009</v>
      </c>
      <c r="B155" s="1" t="n">
        <f aca="false">Data!C155-Data!$B155</f>
        <v>0.0222758180332804</v>
      </c>
      <c r="C155" s="1" t="n">
        <f aca="false">Data!D155-Data!$B155</f>
        <v>-0.0787663396689148</v>
      </c>
      <c r="D155" s="1" t="n">
        <f aca="false">Data!E155-Data!$B155</f>
        <v>0.0329894681960376</v>
      </c>
      <c r="E155" s="1" t="n">
        <f aca="false">Data!F155-Data!$B155</f>
        <v>-0.00192858585858578</v>
      </c>
      <c r="F155" s="1" t="n">
        <f aca="false">Data!G155-Data!$B155</f>
        <v>0.00587966101694927</v>
      </c>
      <c r="H155" s="1" t="n">
        <f aca="false">0.5*D155 + 0.5*F155</f>
        <v>0.0194345646064934</v>
      </c>
    </row>
    <row r="156" customFormat="false" ht="13.8" hidden="false" customHeight="false" outlineLevel="0" collapsed="false">
      <c r="A156" s="4" t="n">
        <v>43040</v>
      </c>
      <c r="B156" s="1" t="n">
        <f aca="false">Data!C156-Data!$B156</f>
        <v>0.0297933770381577</v>
      </c>
      <c r="C156" s="1" t="n">
        <f aca="false">Data!D156-Data!$B156</f>
        <v>-0.0113053191489363</v>
      </c>
      <c r="D156" s="1" t="n">
        <f aca="false">Data!E156-Data!$B156</f>
        <v>0.026431467473525</v>
      </c>
      <c r="E156" s="1" t="n">
        <f aca="false">Data!F156-Data!$B156</f>
        <v>-0.00282640688259137</v>
      </c>
      <c r="F156" s="1" t="n">
        <f aca="false">Data!G156-Data!$B156</f>
        <v>-0.0109010101010102</v>
      </c>
      <c r="H156" s="1" t="n">
        <f aca="false">0.5*D156 + 0.5*F156</f>
        <v>0.0077652286862574</v>
      </c>
    </row>
    <row r="157" customFormat="false" ht="13.8" hidden="false" customHeight="false" outlineLevel="0" collapsed="false">
      <c r="A157" s="4" t="n">
        <v>43070</v>
      </c>
      <c r="B157" s="1" t="n">
        <f aca="false">Data!C157-Data!$B157</f>
        <v>0.0101198833366344</v>
      </c>
      <c r="C157" s="1" t="n">
        <f aca="false">Data!D157-Data!$B157</f>
        <v>0.034176749244882</v>
      </c>
      <c r="D157" s="1" t="n">
        <f aca="false">Data!E157-Data!$B157</f>
        <v>-0.0604449603833373</v>
      </c>
      <c r="E157" s="1" t="n">
        <f aca="false">Data!F157-Data!$B157</f>
        <v>0.00105489340101518</v>
      </c>
      <c r="F157" s="1" t="n">
        <f aca="false">Data!G157-Data!$B157</f>
        <v>0.00110578347777469</v>
      </c>
      <c r="H157" s="1" t="n">
        <f aca="false">0.5*D157 + 0.5*F157</f>
        <v>-0.0296695884527813</v>
      </c>
    </row>
    <row r="158" customFormat="false" ht="13.8" hidden="false" customHeight="false" outlineLevel="0" collapsed="false">
      <c r="A158" s="4" t="n">
        <v>43101</v>
      </c>
      <c r="B158" s="1" t="n">
        <f aca="false">Data!C158-Data!$B158</f>
        <v>0.0560266510007293</v>
      </c>
      <c r="C158" s="1" t="n">
        <f aca="false">Data!D158-Data!$B158</f>
        <v>0.0593508878100685</v>
      </c>
      <c r="D158" s="1" t="n">
        <f aca="false">Data!E158-Data!$B158</f>
        <v>-0.0331855614973261</v>
      </c>
      <c r="E158" s="1" t="n">
        <f aca="false">Data!F158-Data!$B158</f>
        <v>-0.0042852941176469</v>
      </c>
      <c r="F158" s="1" t="n">
        <f aca="false">Data!G158-Data!$B158</f>
        <v>0.0143373927958833</v>
      </c>
      <c r="H158" s="1" t="n">
        <f aca="false">0.5*D158 + 0.5*F158</f>
        <v>-0.0094240843507214</v>
      </c>
    </row>
    <row r="159" customFormat="false" ht="13.8" hidden="false" customHeight="false" outlineLevel="0" collapsed="false">
      <c r="A159" s="4" t="n">
        <v>43132</v>
      </c>
      <c r="B159" s="1" t="n">
        <f aca="false">Data!C159-Data!$B159</f>
        <v>-0.0380845163268435</v>
      </c>
      <c r="C159" s="1" t="n">
        <f aca="false">Data!D159-Data!$B159</f>
        <v>-0.032894807475229</v>
      </c>
      <c r="D159" s="1" t="n">
        <f aca="false">Data!E159-Data!$B159</f>
        <v>-0.0452988950276243</v>
      </c>
      <c r="E159" s="1" t="n">
        <f aca="false">Data!F159-Data!$B159</f>
        <v>-0.00114034623217908</v>
      </c>
      <c r="F159" s="1" t="n">
        <f aca="false">Data!G159-Data!$B159</f>
        <v>0.00143378378378377</v>
      </c>
      <c r="H159" s="1" t="n">
        <f aca="false">0.5*D159 + 0.5*F159</f>
        <v>-0.0219325556219203</v>
      </c>
    </row>
    <row r="160" customFormat="false" ht="13.8" hidden="false" customHeight="false" outlineLevel="0" collapsed="false">
      <c r="A160" s="4" t="n">
        <v>43160</v>
      </c>
      <c r="B160" s="1" t="n">
        <f aca="false">Data!C160-Data!$B160</f>
        <v>-0.0267152706757728</v>
      </c>
      <c r="C160" s="1" t="n">
        <f aca="false">Data!D160-Data!$B160</f>
        <v>-0.026525474447827</v>
      </c>
      <c r="D160" s="1" t="n">
        <f aca="false">Data!E160-Data!$B160</f>
        <v>0.0377988358556461</v>
      </c>
      <c r="E160" s="1" t="n">
        <f aca="false">Data!F160-Data!$B160</f>
        <v>-0.00105179408766545</v>
      </c>
      <c r="F160" s="1" t="n">
        <f aca="false">Data!G160-Data!$B160</f>
        <v>-0.00394641954507149</v>
      </c>
      <c r="H160" s="1" t="n">
        <f aca="false">0.5*D160 + 0.5*F160</f>
        <v>0.0169262081552873</v>
      </c>
    </row>
    <row r="161" customFormat="false" ht="13.8" hidden="false" customHeight="false" outlineLevel="0" collapsed="false">
      <c r="A161" s="4" t="n">
        <v>43191</v>
      </c>
      <c r="B161" s="1" t="n">
        <f aca="false">Data!C161-Data!$B161</f>
        <v>0.00233241458512785</v>
      </c>
      <c r="C161" s="1" t="n">
        <f aca="false">Data!D161-Data!$B161</f>
        <v>-0.0302410419989368</v>
      </c>
      <c r="D161" s="1" t="n">
        <f aca="false">Data!E161-Data!$B161</f>
        <v>0.0198885154061624</v>
      </c>
      <c r="E161" s="1" t="n">
        <f aca="false">Data!F161-Data!$B161</f>
        <v>-0.00409626530612255</v>
      </c>
      <c r="F161" s="1" t="n">
        <f aca="false">Data!G161-Data!$B161</f>
        <v>-0.0132343195266273</v>
      </c>
      <c r="H161" s="1" t="n">
        <f aca="false">0.5*D161 + 0.5*F161</f>
        <v>0.00332709793976755</v>
      </c>
    </row>
    <row r="162" customFormat="false" ht="13.8" hidden="false" customHeight="false" outlineLevel="0" collapsed="false">
      <c r="A162" s="4" t="n">
        <v>43221</v>
      </c>
      <c r="B162" s="1" t="n">
        <f aca="false">Data!C162-Data!$B162</f>
        <v>0.0225457338999674</v>
      </c>
      <c r="C162" s="1" t="n">
        <f aca="false">Data!D162-Data!$B162</f>
        <v>0.049304803612974</v>
      </c>
      <c r="D162" s="1" t="n">
        <f aca="false">Data!E162-Data!$B162</f>
        <v>-0.00743400987383429</v>
      </c>
      <c r="E162" s="1" t="n">
        <f aca="false">Data!F162-Data!$B162</f>
        <v>-0.000871178278688477</v>
      </c>
      <c r="F162" s="1" t="n">
        <f aca="false">Data!G162-Data!$B162</f>
        <v>0.0191303678357571</v>
      </c>
      <c r="H162" s="1" t="n">
        <f aca="false">0.5*D162 + 0.5*F162</f>
        <v>0.00584817898096141</v>
      </c>
    </row>
    <row r="163" customFormat="false" ht="13.8" hidden="false" customHeight="false" outlineLevel="0" collapsed="false">
      <c r="A163" s="4" t="n">
        <v>43252</v>
      </c>
      <c r="B163" s="1" t="n">
        <f aca="false">Data!C163-Data!$B163</f>
        <v>0.00465054148457684</v>
      </c>
      <c r="C163" s="1" t="n">
        <f aca="false">Data!D163-Data!$B163</f>
        <v>0.0107784435037446</v>
      </c>
      <c r="D163" s="1" t="n">
        <f aca="false">Data!E163-Data!$B163</f>
        <v>0.0264853293070025</v>
      </c>
      <c r="E163" s="1" t="n">
        <f aca="false">Data!F163-Data!$B163</f>
        <v>-0.0019799282051282</v>
      </c>
      <c r="F163" s="1" t="n">
        <f aca="false">Data!G163-Data!$B163</f>
        <v>-0.0190026823134953</v>
      </c>
      <c r="H163" s="1" t="n">
        <f aca="false">0.5*D163 + 0.5*F163</f>
        <v>0.0037413234967536</v>
      </c>
    </row>
    <row r="164" customFormat="false" ht="13.8" hidden="false" customHeight="false" outlineLevel="0" collapsed="false">
      <c r="A164" s="4" t="n">
        <v>43282</v>
      </c>
      <c r="B164" s="1" t="n">
        <f aca="false">Data!C164-Data!$B164</f>
        <v>0.0354931112793338</v>
      </c>
      <c r="C164" s="1" t="n">
        <f aca="false">Data!D164-Data!$B164</f>
        <v>0.0210483078110926</v>
      </c>
      <c r="D164" s="1" t="n">
        <f aca="false">Data!E164-Data!$B164</f>
        <v>0.0140756756756757</v>
      </c>
      <c r="E164" s="1" t="n">
        <f aca="false">Data!F164-Data!$B164</f>
        <v>0.00205602261048315</v>
      </c>
      <c r="F164" s="1" t="n">
        <f aca="false">Data!G164-Data!$B164</f>
        <v>0.0086389078498293</v>
      </c>
      <c r="H164" s="1" t="n">
        <f aca="false">0.5*D164 + 0.5*F164</f>
        <v>0.0113572917627525</v>
      </c>
    </row>
    <row r="165" customFormat="false" ht="13.8" hidden="false" customHeight="false" outlineLevel="0" collapsed="false">
      <c r="A165" s="4" t="n">
        <v>43313</v>
      </c>
      <c r="B165" s="1" t="n">
        <f aca="false">Data!C165-Data!$B165</f>
        <v>0.0308625432193622</v>
      </c>
      <c r="C165" s="1" t="n">
        <f aca="false">Data!D165-Data!$B165</f>
        <v>0.0413721907638103</v>
      </c>
      <c r="D165" s="1" t="n">
        <f aca="false">Data!E165-Data!$B165</f>
        <v>0.00797956359765833</v>
      </c>
      <c r="E165" s="1" t="n">
        <f aca="false">Data!F165-Data!$B165</f>
        <v>-0.00314932307692313</v>
      </c>
      <c r="F165" s="1" t="n">
        <f aca="false">Data!G165-Data!$B165</f>
        <v>0.0169810810810811</v>
      </c>
      <c r="H165" s="1" t="n">
        <f aca="false">0.5*D165 + 0.5*F165</f>
        <v>0.0124803223393697</v>
      </c>
    </row>
    <row r="166" customFormat="false" ht="13.8" hidden="false" customHeight="false" outlineLevel="0" collapsed="false">
      <c r="A166" s="4" t="n">
        <v>43344</v>
      </c>
      <c r="B166" s="1" t="n">
        <f aca="false">Data!C166-Data!$B166</f>
        <v>0.00404349928205711</v>
      </c>
      <c r="C166" s="1" t="n">
        <f aca="false">Data!D166-Data!$B166</f>
        <v>-0.0173653556131991</v>
      </c>
      <c r="D166" s="1" t="n">
        <f aca="false">Data!E166-Data!$B166</f>
        <v>-0.0116060394801367</v>
      </c>
      <c r="E166" s="1" t="n">
        <f aca="false">Data!F166-Data!$B166</f>
        <v>9.47942386831399E-005</v>
      </c>
      <c r="F166" s="1" t="n">
        <f aca="false">Data!G166-Data!$B166</f>
        <v>-0.0048167495854064</v>
      </c>
      <c r="H166" s="1" t="n">
        <f aca="false">0.5*D166 + 0.5*F166</f>
        <v>-0.00821139453277155</v>
      </c>
    </row>
    <row r="167" customFormat="false" ht="13.8" hidden="false" customHeight="false" outlineLevel="0" collapsed="false">
      <c r="A167" s="4" t="n">
        <v>43374</v>
      </c>
      <c r="B167" s="1" t="n">
        <f aca="false">Data!C167-Data!$B167</f>
        <v>-0.0703900962503251</v>
      </c>
      <c r="C167" s="1" t="n">
        <f aca="false">Data!D167-Data!$B167</f>
        <v>-0.149687176658085</v>
      </c>
      <c r="D167" s="1" t="n">
        <f aca="false">Data!E167-Data!$B167</f>
        <v>0.010961736334405</v>
      </c>
      <c r="E167" s="1" t="n">
        <f aca="false">Data!F167-Data!$B167</f>
        <v>-0.00140630658436213</v>
      </c>
      <c r="F167" s="1" t="n">
        <f aca="false">Data!G167-Data!$B167</f>
        <v>0.00558752079866888</v>
      </c>
      <c r="H167" s="1" t="n">
        <f aca="false">0.5*D167 + 0.5*F167</f>
        <v>0.00827462856653694</v>
      </c>
    </row>
    <row r="168" customFormat="false" ht="13.8" hidden="false" customHeight="false" outlineLevel="0" collapsed="false">
      <c r="A168" s="4" t="n">
        <v>43405</v>
      </c>
      <c r="B168" s="1" t="n">
        <f aca="false">Data!C168-Data!$B168</f>
        <v>0.0184664964493737</v>
      </c>
      <c r="C168" s="1" t="n">
        <f aca="false">Data!D168-Data!$B168</f>
        <v>0.0351704380349565</v>
      </c>
      <c r="D168" s="1" t="n">
        <f aca="false">Data!E168-Data!$B168</f>
        <v>0.0394698412698414</v>
      </c>
      <c r="E168" s="1" t="n">
        <f aca="false">Data!F168-Data!$B168</f>
        <v>-0.00282986611740485</v>
      </c>
      <c r="F168" s="1" t="n">
        <f aca="false">Data!G168-Data!$B168</f>
        <v>-0.0381336085879438</v>
      </c>
      <c r="H168" s="1" t="n">
        <f aca="false">0.5*D168 + 0.5*F168</f>
        <v>0.000668116340948797</v>
      </c>
    </row>
    <row r="169" customFormat="false" ht="13.8" hidden="false" customHeight="false" outlineLevel="0" collapsed="false">
      <c r="A169" s="4" t="n">
        <v>43435</v>
      </c>
      <c r="B169" s="1" t="n">
        <f aca="false">Data!C169-Data!$B169</f>
        <v>-0.0923014174392535</v>
      </c>
      <c r="C169" s="1" t="n">
        <f aca="false">Data!D169-Data!$B169</f>
        <v>-0.122815070257019</v>
      </c>
      <c r="D169" s="1" t="n">
        <f aca="false">Data!E169-Data!$B169</f>
        <v>-0.0726818688763811</v>
      </c>
      <c r="E169" s="1" t="n">
        <f aca="false">Data!F169-Data!$B169</f>
        <v>0.00076030927835059</v>
      </c>
      <c r="F169" s="1" t="n">
        <f aca="false">Data!G169-Data!$B169</f>
        <v>0.00255691600704667</v>
      </c>
      <c r="H169" s="1" t="n">
        <f aca="false">0.5*D169 + 0.5*F169</f>
        <v>-0.0350624764346672</v>
      </c>
    </row>
    <row r="170" customFormat="false" ht="13.8" hidden="false" customHeight="false" outlineLevel="0" collapsed="false">
      <c r="A170" s="4" t="n">
        <v>43466</v>
      </c>
      <c r="B170" s="1" t="n">
        <f aca="false">Data!C170-Data!$B170</f>
        <v>0.0779207397165573</v>
      </c>
      <c r="C170" s="1" t="n">
        <f aca="false">Data!D170-Data!$B170</f>
        <v>0.139017829710737</v>
      </c>
      <c r="D170" s="1" t="n">
        <f aca="false">Data!E170-Data!$B170</f>
        <v>0.0525056260341976</v>
      </c>
      <c r="E170" s="1" t="n">
        <f aca="false">Data!F170-Data!$B170</f>
        <v>0.00460272164948438</v>
      </c>
      <c r="F170" s="1" t="n">
        <f aca="false">Data!G170-Data!$B170</f>
        <v>-0.025335800344234</v>
      </c>
      <c r="H170" s="1" t="n">
        <f aca="false">0.5*D170 + 0.5*F170</f>
        <v>0.0135849128449818</v>
      </c>
    </row>
    <row r="171" customFormat="false" ht="13.8" hidden="false" customHeight="false" outlineLevel="0" collapsed="false">
      <c r="A171" s="4" t="n">
        <v>43497</v>
      </c>
      <c r="B171" s="1" t="n">
        <f aca="false">Data!C171-Data!$B171</f>
        <v>0.0302051208193311</v>
      </c>
      <c r="C171" s="1" t="n">
        <f aca="false">Data!D171-Data!$B171</f>
        <v>0.0476092373791621</v>
      </c>
      <c r="D171" s="1" t="n">
        <f aca="false">Data!E171-Data!$B171</f>
        <v>0.0348108786610879</v>
      </c>
      <c r="E171" s="1" t="n">
        <f aca="false">Data!F171-Data!$B171</f>
        <v>0.00184858316221772</v>
      </c>
      <c r="F171" s="1" t="n">
        <f aca="false">Data!G171-Data!$B171</f>
        <v>-0.0106105726872246</v>
      </c>
      <c r="H171" s="1" t="n">
        <f aca="false">0.5*D171 + 0.5*F171</f>
        <v>0.0121001529869316</v>
      </c>
    </row>
    <row r="172" customFormat="false" ht="13.8" hidden="false" customHeight="false" outlineLevel="0" collapsed="false">
      <c r="A172" s="4" t="n">
        <v>43525</v>
      </c>
      <c r="B172" s="1" t="n">
        <f aca="false">Data!C172-Data!$B172</f>
        <v>0.0174663734710763</v>
      </c>
      <c r="C172" s="1" t="n">
        <f aca="false">Data!D172-Data!$B172</f>
        <v>-0.00497062436028671</v>
      </c>
      <c r="D172" s="1" t="n">
        <f aca="false">Data!E172-Data!$B172</f>
        <v>0.0275258452656184</v>
      </c>
      <c r="E172" s="1" t="n">
        <f aca="false">Data!F172-Data!$B172</f>
        <v>0.00187184615384629</v>
      </c>
      <c r="F172" s="1" t="n">
        <f aca="false">Data!G172-Data!$B172</f>
        <v>-0.0232066666666667</v>
      </c>
      <c r="H172" s="1" t="n">
        <f aca="false">0.5*D172 + 0.5*F172</f>
        <v>0.00215958929947585</v>
      </c>
    </row>
    <row r="173" customFormat="false" ht="13.8" hidden="false" customHeight="false" outlineLevel="0" collapsed="false">
      <c r="A173" s="4" t="n">
        <v>43556</v>
      </c>
      <c r="B173" s="1" t="n">
        <f aca="false">Data!C173-Data!$B173</f>
        <v>0.0383113778865269</v>
      </c>
      <c r="C173" s="1" t="n">
        <f aca="false">Data!D173-Data!$B173</f>
        <v>-0.0517235455167693</v>
      </c>
      <c r="D173" s="1" t="n">
        <f aca="false">Data!E173-Data!$B173</f>
        <v>0.0072688362919131</v>
      </c>
      <c r="E173" s="1" t="n">
        <f aca="false">Data!F173-Data!$B173</f>
        <v>0.00070363729508193</v>
      </c>
      <c r="F173" s="1" t="n">
        <f aca="false">Data!G173-Data!$B173</f>
        <v>-0.0239181818181819</v>
      </c>
      <c r="H173" s="1" t="n">
        <f aca="false">0.5*D173 + 0.5*F173</f>
        <v>-0.0083246727631344</v>
      </c>
    </row>
    <row r="174" customFormat="false" ht="13.8" hidden="false" customHeight="false" outlineLevel="0" collapsed="false">
      <c r="A174" s="4" t="n">
        <v>43586</v>
      </c>
      <c r="B174" s="1" t="n">
        <f aca="false">Data!C174-Data!$B174</f>
        <v>-0.0657460515194943</v>
      </c>
      <c r="C174" s="1" t="n">
        <f aca="false">Data!D174-Data!$B174</f>
        <v>-0.0286034209578683</v>
      </c>
      <c r="D174" s="1" t="n">
        <f aca="false">Data!E174-Data!$B174</f>
        <v>-0.00649667806546162</v>
      </c>
      <c r="E174" s="1" t="n">
        <f aca="false">Data!F174-Data!$B174</f>
        <v>0.0050405327868852</v>
      </c>
      <c r="F174" s="1" t="n">
        <f aca="false">Data!G174-Data!$B174</f>
        <v>-0.0216167286245352</v>
      </c>
      <c r="H174" s="1" t="n">
        <f aca="false">0.5*D174 + 0.5*F174</f>
        <v>-0.0140567033449984</v>
      </c>
    </row>
    <row r="175" customFormat="false" ht="13.8" hidden="false" customHeight="false" outlineLevel="0" collapsed="false">
      <c r="A175" s="4" t="n">
        <v>43617</v>
      </c>
      <c r="B175" s="1" t="n">
        <f aca="false">Data!C175-Data!$B175</f>
        <v>0.0685292522395198</v>
      </c>
      <c r="C175" s="1" t="n">
        <f aca="false">Data!D175-Data!$B175</f>
        <v>0.119898601760746</v>
      </c>
      <c r="D175" s="1" t="n">
        <f aca="false">Data!E175-Data!$B175</f>
        <v>0.0331789545510304</v>
      </c>
      <c r="E175" s="1" t="n">
        <f aca="false">Data!F175-Data!$B175</f>
        <v>0.00352506122448972</v>
      </c>
      <c r="F175" s="1" t="n">
        <f aca="false">Data!G175-Data!$B175</f>
        <v>-0.0179137440758293</v>
      </c>
      <c r="H175" s="1" t="n">
        <f aca="false">0.5*D175 + 0.5*F175</f>
        <v>0.00763260523760055</v>
      </c>
    </row>
    <row r="176" customFormat="false" ht="13.8" hidden="false" customHeight="false" outlineLevel="0" collapsed="false">
      <c r="A176" s="4" t="n">
        <v>43647</v>
      </c>
      <c r="B176" s="1" t="n">
        <f aca="false">Data!C176-Data!$B176</f>
        <v>0.0123588703437603</v>
      </c>
      <c r="C176" s="1" t="n">
        <f aca="false">Data!D176-Data!$B176</f>
        <v>-0.0437150639757289</v>
      </c>
      <c r="D176" s="1" t="n">
        <f aca="false">Data!E176-Data!$B176</f>
        <v>-0.0057149737720552</v>
      </c>
      <c r="E176" s="1" t="n">
        <f aca="false">Data!F176-Data!$B176</f>
        <v>-0.00322023421588612</v>
      </c>
      <c r="F176" s="1" t="n">
        <f aca="false">Data!G176-Data!$B176</f>
        <v>0.0135142581888246</v>
      </c>
      <c r="H176" s="1" t="n">
        <f aca="false">0.5*D176 + 0.5*F176</f>
        <v>0.0038996422083847</v>
      </c>
    </row>
    <row r="177" customFormat="false" ht="13.8" hidden="false" customHeight="false" outlineLevel="0" collapsed="false">
      <c r="A177" s="4" t="n">
        <v>43678</v>
      </c>
      <c r="B177" s="1" t="n">
        <f aca="false">Data!C177-Data!$B177</f>
        <v>-0.0175110723626853</v>
      </c>
      <c r="C177" s="1" t="n">
        <f aca="false">Data!D177-Data!$B177</f>
        <v>-0.0532244493392071</v>
      </c>
      <c r="D177" s="1" t="n">
        <f aca="false">Data!E177-Data!$B177</f>
        <v>0.0453123982766875</v>
      </c>
      <c r="E177" s="1" t="n">
        <f aca="false">Data!F177-Data!$B177</f>
        <v>0.00787226993865025</v>
      </c>
      <c r="F177" s="1" t="n">
        <f aca="false">Data!G177-Data!$B177</f>
        <v>0.0097851992409868</v>
      </c>
      <c r="H177" s="1" t="n">
        <f aca="false">0.5*D177 + 0.5*F177</f>
        <v>0.0275487987588372</v>
      </c>
    </row>
    <row r="178" customFormat="false" ht="13.8" hidden="false" customHeight="false" outlineLevel="0" collapsed="false">
      <c r="A178" s="4" t="n">
        <v>43709</v>
      </c>
      <c r="B178" s="1" t="n">
        <f aca="false">Data!C178-Data!$B178</f>
        <v>0.016788488585213</v>
      </c>
      <c r="C178" s="1" t="n">
        <f aca="false">Data!D178-Data!$B178</f>
        <v>-0.0584119901291915</v>
      </c>
      <c r="D178" s="1" t="n">
        <f aca="false">Data!E178-Data!$B178</f>
        <v>0.0344317851061496</v>
      </c>
      <c r="E178" s="1" t="n">
        <f aca="false">Data!F178-Data!$B178</f>
        <v>-0.00054068020304563</v>
      </c>
      <c r="F178" s="1" t="n">
        <f aca="false">Data!G178-Data!$B178</f>
        <v>7.61726078799801E-005</v>
      </c>
      <c r="H178" s="1" t="n">
        <f aca="false">0.5*D178 + 0.5*F178</f>
        <v>0.0172539788570148</v>
      </c>
    </row>
    <row r="179" customFormat="false" ht="13.8" hidden="false" customHeight="false" outlineLevel="0" collapsed="false">
      <c r="A179" s="4" t="n">
        <v>43739</v>
      </c>
      <c r="B179" s="1" t="n">
        <f aca="false">Data!C179-Data!$B179</f>
        <v>0.0200499981798988</v>
      </c>
      <c r="C179" s="1" t="n">
        <f aca="false">Data!D179-Data!$B179</f>
        <v>0.111363517464225</v>
      </c>
      <c r="D179" s="1" t="n">
        <f aca="false">Data!E179-Data!$B179</f>
        <v>-0.0156969831410825</v>
      </c>
      <c r="E179" s="1" t="n">
        <f aca="false">Data!F179-Data!$B179</f>
        <v>0.00045806910569107</v>
      </c>
      <c r="F179" s="1" t="n">
        <f aca="false">Data!G179-Data!$B179</f>
        <v>-0.0117996254681648</v>
      </c>
      <c r="H179" s="1" t="n">
        <f aca="false">0.5*D179 + 0.5*F179</f>
        <v>-0.0137483043046237</v>
      </c>
    </row>
    <row r="180" customFormat="false" ht="13.8" hidden="false" customHeight="false" outlineLevel="0" collapsed="false">
      <c r="A180" s="4" t="n">
        <v>43770</v>
      </c>
      <c r="B180" s="1" t="n">
        <f aca="false">Data!C180-Data!$B180</f>
        <v>0.0350042547126109</v>
      </c>
      <c r="C180" s="1" t="n">
        <f aca="false">Data!D180-Data!$B180</f>
        <v>0.102360318008987</v>
      </c>
      <c r="D180" s="1" t="n">
        <f aca="false">Data!E180-Data!$B180</f>
        <v>-0.0219020702070205</v>
      </c>
      <c r="E180" s="1" t="n">
        <f aca="false">Data!F180-Data!$B180</f>
        <v>-0.00326001016260149</v>
      </c>
      <c r="F180" s="1" t="n">
        <f aca="false">Data!G180-Data!$B180</f>
        <v>-0.00403822138126788</v>
      </c>
      <c r="H180" s="1" t="n">
        <f aca="false">0.5*D180 + 0.5*F180</f>
        <v>-0.0129701457941442</v>
      </c>
    </row>
    <row r="181" customFormat="false" ht="13.8" hidden="false" customHeight="false" outlineLevel="0" collapsed="false">
      <c r="A181" s="4" t="n">
        <v>43800</v>
      </c>
      <c r="B181" s="1" t="n">
        <f aca="false">Data!C181-Data!$B181</f>
        <v>0.0286546842811047</v>
      </c>
      <c r="C181" s="1" t="n">
        <f aca="false">Data!D181-Data!$B181</f>
        <v>0.0323559029358701</v>
      </c>
      <c r="D181" s="1" t="n">
        <f aca="false">Data!E181-Data!$B181</f>
        <v>0.0369482715361025</v>
      </c>
      <c r="E181" s="1" t="n">
        <f aca="false">Data!F181-Data!$B181</f>
        <v>0.00093976530612234</v>
      </c>
      <c r="F181" s="1" t="n">
        <f aca="false">Data!G181-Data!$B181</f>
        <v>-0.00534960483410389</v>
      </c>
      <c r="H181" s="1" t="n">
        <f aca="false">0.5*D181 + 0.5*F181</f>
        <v>0.0157993333509993</v>
      </c>
    </row>
    <row r="182" customFormat="false" ht="13.8" hidden="false" customHeight="false" outlineLevel="0" collapsed="false">
      <c r="A182" s="4" t="n">
        <v>43831</v>
      </c>
      <c r="B182" s="1" t="n">
        <f aca="false">Data!C182-Data!$B182</f>
        <v>-0.00180308559162882</v>
      </c>
      <c r="C182" s="1" t="n">
        <f aca="false">Data!D182-Data!$B182</f>
        <v>-0.046959377070908</v>
      </c>
      <c r="D182" s="1" t="n">
        <f aca="false">Data!E182-Data!$B182</f>
        <v>0.0598967361740708</v>
      </c>
      <c r="E182" s="1" t="n">
        <f aca="false">Data!F182-Data!$B182</f>
        <v>0.00748793877550987</v>
      </c>
      <c r="F182" s="1" t="n">
        <f aca="false">Data!G182-Data!$B182</f>
        <v>0.0036067713444555</v>
      </c>
      <c r="H182" s="1" t="n">
        <f aca="false">0.5*D182 + 0.5*F182</f>
        <v>0.0317517537592631</v>
      </c>
    </row>
    <row r="183" customFormat="false" ht="13.8" hidden="false" customHeight="false" outlineLevel="0" collapsed="false">
      <c r="A183" s="4" t="n">
        <v>43862</v>
      </c>
      <c r="B183" s="1" t="n">
        <f aca="false">Data!C183-Data!$B183</f>
        <v>-0.0836133418341666</v>
      </c>
      <c r="C183" s="1" t="n">
        <f aca="false">Data!D183-Data!$B183</f>
        <v>0.00671611693632399</v>
      </c>
      <c r="D183" s="1" t="n">
        <f aca="false">Data!E183-Data!$B183</f>
        <v>-0.100302947458351</v>
      </c>
      <c r="E183" s="1" t="n">
        <f aca="false">Data!F183-Data!$B183</f>
        <v>0.00353966565349548</v>
      </c>
      <c r="F183" s="1" t="n">
        <f aca="false">Data!G183-Data!$B183</f>
        <v>-0.0353796875</v>
      </c>
      <c r="H183" s="1" t="n">
        <f aca="false">0.5*D183 + 0.5*F183</f>
        <v>-0.0678413174791756</v>
      </c>
    </row>
    <row r="184" customFormat="false" ht="13.8" hidden="false" customHeight="false" outlineLevel="0" collapsed="false">
      <c r="A184" s="4" t="n">
        <v>43891</v>
      </c>
      <c r="B184" s="1" t="n">
        <f aca="false">Data!C184-Data!$B184</f>
        <v>-0.124920923898613</v>
      </c>
      <c r="C184" s="1" t="n">
        <f aca="false">Data!D184-Data!$B184</f>
        <v>-0.0909003100241131</v>
      </c>
      <c r="D184" s="1" t="n">
        <f aca="false">Data!E184-Data!$B184</f>
        <v>-0.109713672137923</v>
      </c>
      <c r="E184" s="1" t="n">
        <f aca="false">Data!F184-Data!$B184</f>
        <v>-0.0159458484848484</v>
      </c>
      <c r="F184" s="1" t="n">
        <f aca="false">Data!G184-Data!$B184</f>
        <v>-0.0214912053290126</v>
      </c>
      <c r="H184" s="1" t="n">
        <f aca="false">0.5*D184 + 0.5*F184</f>
        <v>-0.0656024387334678</v>
      </c>
    </row>
    <row r="185" customFormat="false" ht="13.8" hidden="false" customHeight="false" outlineLevel="0" collapsed="false">
      <c r="A185" s="4" t="n">
        <v>43922</v>
      </c>
      <c r="B185" s="1" t="n">
        <f aca="false">Data!C185-Data!$B185</f>
        <v>0.128138491847257</v>
      </c>
      <c r="C185" s="1" t="n">
        <f aca="false">Data!D185-Data!$B185</f>
        <v>0.138878377355635</v>
      </c>
      <c r="D185" s="1" t="n">
        <f aca="false">Data!E185-Data!$B185</f>
        <v>0.0358288770053477</v>
      </c>
      <c r="E185" s="1" t="n">
        <f aca="false">Data!F185-Data!$B185</f>
        <v>0.0120024254881808</v>
      </c>
      <c r="F185" s="1" t="n">
        <f aca="false">Data!G185-Data!$B185</f>
        <v>0.00206825232678387</v>
      </c>
      <c r="H185" s="1" t="n">
        <f aca="false">0.5*D185 + 0.5*F185</f>
        <v>0.0189485646660658</v>
      </c>
    </row>
    <row r="186" customFormat="false" ht="13.8" hidden="false" customHeight="false" outlineLevel="0" collapsed="false">
      <c r="A186" s="4" t="n">
        <v>43952</v>
      </c>
      <c r="B186" s="1" t="n">
        <f aca="false">Data!C186-Data!$B186</f>
        <v>0.0474217358995319</v>
      </c>
      <c r="C186" s="1" t="n">
        <f aca="false">Data!D186-Data!$B186</f>
        <v>0.0984513024986711</v>
      </c>
      <c r="D186" s="1" t="n">
        <f aca="false">Data!E186-Data!$B186</f>
        <v>0.0386196695921528</v>
      </c>
      <c r="E186" s="1" t="n">
        <f aca="false">Data!F186-Data!$B186</f>
        <v>0.00533153611393676</v>
      </c>
      <c r="F186" s="1" t="n">
        <f aca="false">Data!G186-Data!$B186</f>
        <v>-0.0207398348813209</v>
      </c>
      <c r="H186" s="1" t="n">
        <f aca="false">0.5*D186 + 0.5*F186</f>
        <v>0.00893991735541595</v>
      </c>
    </row>
    <row r="187" customFormat="false" ht="13.8" hidden="false" customHeight="false" outlineLevel="0" collapsed="false">
      <c r="A187" s="4" t="n">
        <v>43983</v>
      </c>
      <c r="B187" s="1" t="n">
        <f aca="false">Data!C187-Data!$B187</f>
        <v>0.019713157422045</v>
      </c>
      <c r="C187" s="1" t="n">
        <f aca="false">Data!D187-Data!$B187</f>
        <v>0.0314770370818462</v>
      </c>
      <c r="D187" s="1" t="n">
        <f aca="false">Data!E187-Data!$B187</f>
        <v>-0.040156689565577</v>
      </c>
      <c r="E187" s="1" t="n">
        <f aca="false">Data!F187-Data!$B187</f>
        <v>0.00515785207700102</v>
      </c>
      <c r="F187" s="1" t="n">
        <f aca="false">Data!G187-Data!$B187</f>
        <v>0.017813593256059</v>
      </c>
      <c r="H187" s="1" t="n">
        <f aca="false">0.5*D187 + 0.5*F187</f>
        <v>-0.011171548154759</v>
      </c>
    </row>
    <row r="188" customFormat="false" ht="13.8" hidden="false" customHeight="false" outlineLevel="0" collapsed="false">
      <c r="A188" s="4" t="n">
        <v>44013</v>
      </c>
      <c r="B188" s="1" t="n">
        <f aca="false">Data!C188-Data!$B188</f>
        <v>0.0561700964630225</v>
      </c>
      <c r="C188" s="1" t="n">
        <f aca="false">Data!D188-Data!$B188</f>
        <v>0.0047671787955199</v>
      </c>
      <c r="D188" s="1" t="n">
        <f aca="false">Data!E188-Data!$B188</f>
        <v>0.0702125</v>
      </c>
      <c r="E188" s="1" t="n">
        <f aca="false">Data!F188-Data!$B188</f>
        <v>0.00196351160444007</v>
      </c>
      <c r="F188" s="1" t="n">
        <f aca="false">Data!G188-Data!$B188</f>
        <v>0.00921677018633548</v>
      </c>
      <c r="H188" s="1" t="n">
        <f aca="false">0.5*D188 + 0.5*F188</f>
        <v>0.0397146350931677</v>
      </c>
    </row>
    <row r="189" customFormat="false" ht="13.8" hidden="false" customHeight="false" outlineLevel="0" collapsed="false">
      <c r="A189" s="4" t="n">
        <v>44044</v>
      </c>
      <c r="B189" s="1" t="n">
        <f aca="false">Data!C189-Data!$B189</f>
        <v>0.0716689100655152</v>
      </c>
      <c r="C189" s="1" t="n">
        <f aca="false">Data!D189-Data!$B189</f>
        <v>0.000892063492063489</v>
      </c>
      <c r="D189" s="1" t="n">
        <f aca="false">Data!E189-Data!$B189</f>
        <v>-0.0283238442822386</v>
      </c>
      <c r="E189" s="1" t="n">
        <f aca="false">Data!F189-Data!$B189</f>
        <v>0.00291646169354841</v>
      </c>
      <c r="F189" s="1" t="n">
        <f aca="false">Data!G189-Data!$B189</f>
        <v>-0.0226641025641027</v>
      </c>
      <c r="H189" s="1" t="n">
        <f aca="false">0.5*D189 + 0.5*F189</f>
        <v>-0.0254939734231706</v>
      </c>
    </row>
    <row r="190" customFormat="false" ht="13.8" hidden="false" customHeight="false" outlineLevel="0" collapsed="false">
      <c r="A190" s="4" t="n">
        <v>44075</v>
      </c>
      <c r="B190" s="1" t="n">
        <f aca="false">Data!C190-Data!$B190</f>
        <v>-0.0382056918766258</v>
      </c>
      <c r="C190" s="1" t="n">
        <f aca="false">Data!D190-Data!$B190</f>
        <v>0.0309149828018422</v>
      </c>
      <c r="D190" s="1" t="n">
        <f aca="false">Data!E190-Data!$B190</f>
        <v>-0.00406623448410916</v>
      </c>
      <c r="E190" s="1" t="n">
        <f aca="false">Data!F190-Data!$B190</f>
        <v>-0.000130764587525156</v>
      </c>
      <c r="F190" s="1" t="n">
        <f aca="false">Data!G190-Data!$B190</f>
        <v>-0.00954386149003151</v>
      </c>
      <c r="H190" s="1" t="n">
        <f aca="false">0.5*D190 + 0.5*F190</f>
        <v>-0.00680504798707034</v>
      </c>
    </row>
    <row r="191" customFormat="false" ht="13.8" hidden="false" customHeight="false" outlineLevel="0" collapsed="false">
      <c r="A191" s="4" t="n">
        <v>44105</v>
      </c>
      <c r="B191" s="1" t="n">
        <f aca="false">Data!C191-Data!$B191</f>
        <v>-0.0268134985338188</v>
      </c>
      <c r="C191" s="1" t="n">
        <f aca="false">Data!D191-Data!$B191</f>
        <v>-0.0423957308453491</v>
      </c>
      <c r="D191" s="1" t="n">
        <f aca="false">Data!E191-Data!$B191</f>
        <v>0.0519991401112798</v>
      </c>
      <c r="E191" s="1" t="n">
        <f aca="false">Data!F191-Data!$B191</f>
        <v>-0.000202729103725885</v>
      </c>
      <c r="F191" s="1" t="n">
        <f aca="false">Data!G191-Data!$B191</f>
        <v>-0.0308203389830507</v>
      </c>
      <c r="H191" s="1" t="n">
        <f aca="false">0.5*D191 + 0.5*F191</f>
        <v>0.0105894005641145</v>
      </c>
    </row>
    <row r="192" customFormat="false" ht="13.8" hidden="false" customHeight="false" outlineLevel="0" collapsed="false">
      <c r="A192" s="4" t="n">
        <v>44136</v>
      </c>
      <c r="B192" s="1" t="n">
        <f aca="false">Data!C192-Data!$B192</f>
        <v>0.109256376638856</v>
      </c>
      <c r="C192" s="1" t="n">
        <f aca="false">Data!D192-Data!$B192</f>
        <v>0.117276158705792</v>
      </c>
      <c r="D192" s="1" t="n">
        <f aca="false">Data!E192-Data!$B192</f>
        <v>0.0196115384615385</v>
      </c>
      <c r="E192" s="1" t="n">
        <f aca="false">Data!F192-Data!$B192</f>
        <v>0.00269039314516116</v>
      </c>
      <c r="F192" s="1" t="n">
        <f aca="false">Data!G192-Data!$B192</f>
        <v>-0.0121218579234974</v>
      </c>
      <c r="H192" s="1" t="n">
        <f aca="false">0.5*D192 + 0.5*F192</f>
        <v>0.00374484026902055</v>
      </c>
    </row>
    <row r="193" customFormat="false" ht="13.8" hidden="false" customHeight="false" outlineLevel="0" collapsed="false">
      <c r="A193" s="4" t="n">
        <v>44166</v>
      </c>
      <c r="B193" s="1" t="n">
        <f aca="false">Data!C193-Data!$B193</f>
        <v>0.038289456370638</v>
      </c>
      <c r="C193" s="1" t="n">
        <f aca="false">Data!D193-Data!$B193</f>
        <v>0.0356007560431712</v>
      </c>
      <c r="D193" s="1" t="n">
        <f aca="false">Data!E193-Data!$B193</f>
        <v>0.00210129795333746</v>
      </c>
      <c r="E193" s="1" t="n">
        <f aca="false">Data!F193-Data!$B193</f>
        <v>0.00159897384305817</v>
      </c>
      <c r="F193" s="1" t="n">
        <f aca="false">Data!G193-Data!$B193</f>
        <v>-0.00534466423737646</v>
      </c>
      <c r="H193" s="1" t="n">
        <f aca="false">0.5*D193 + 0.5*F193</f>
        <v>-0.0016216831420195</v>
      </c>
    </row>
    <row r="194" customFormat="false" ht="13.8" hidden="false" customHeight="false" outlineLevel="0" collapsed="false">
      <c r="A194" s="4" t="n">
        <v>44197</v>
      </c>
      <c r="B194" s="1" t="n">
        <f aca="false">Data!C194-Data!$B194</f>
        <v>-0.0102135025966532</v>
      </c>
      <c r="C194" s="1" t="n">
        <f aca="false">Data!D194-Data!$B194</f>
        <v>0.00315070890950486</v>
      </c>
      <c r="D194" s="1" t="n">
        <f aca="false">Data!E194-Data!$B194</f>
        <v>-0.0193089430894309</v>
      </c>
      <c r="E194" s="1" t="n">
        <f aca="false">Data!F194-Data!$B194</f>
        <v>0.000532914572864307</v>
      </c>
      <c r="F194" s="1" t="n">
        <f aca="false">Data!G194-Data!$B194</f>
        <v>0.0313199105145414</v>
      </c>
      <c r="H194" s="1" t="n">
        <f aca="false">0.5*D194 + 0.5*F194</f>
        <v>0.00600548371255525</v>
      </c>
    </row>
    <row r="195" customFormat="false" ht="13.8" hidden="false" customHeight="false" outlineLevel="0" collapsed="false">
      <c r="A195" s="4" t="n">
        <v>44228</v>
      </c>
      <c r="B195" s="1" t="n">
        <f aca="false">Data!C195-Data!$B195</f>
        <v>0.0275462018305834</v>
      </c>
      <c r="C195" s="1" t="n">
        <f aca="false">Data!D195-Data!$B195</f>
        <v>0.010004071424417</v>
      </c>
      <c r="D195" s="1" t="n">
        <f aca="false">Data!E195-Data!$B195</f>
        <v>-0.0507772020725389</v>
      </c>
      <c r="E195" s="1" t="n">
        <f aca="false">Data!F195-Data!$B195</f>
        <v>0.000472723618090365</v>
      </c>
      <c r="F195" s="1" t="n">
        <f aca="false">Data!G195-Data!$B195</f>
        <v>-0.00759219088937091</v>
      </c>
      <c r="H195" s="1" t="n">
        <f aca="false">0.5*D195 + 0.5*F195</f>
        <v>-0.0291846964809549</v>
      </c>
    </row>
    <row r="196" customFormat="false" ht="13.8" hidden="false" customHeight="false" outlineLevel="0" collapsed="false">
      <c r="A196" s="4" t="n">
        <v>44256</v>
      </c>
      <c r="B196" s="1" t="n">
        <f aca="false">Data!C196-Data!$B196</f>
        <v>0.0437024133785846</v>
      </c>
      <c r="C196" s="1" t="n">
        <f aca="false">Data!D196-Data!$B196</f>
        <v>-0.0670313849697669</v>
      </c>
      <c r="D196" s="1" t="n">
        <f aca="false">Data!E196-Data!$B196</f>
        <v>0.109203557009852</v>
      </c>
      <c r="E196" s="1" t="n">
        <f aca="false">Data!F196-Data!$B196</f>
        <v>-0.00160395979899475</v>
      </c>
      <c r="F196" s="1" t="n">
        <f aca="false">Data!G196-Data!$B196</f>
        <v>0.0459016393442624</v>
      </c>
      <c r="H196" s="1" t="n">
        <f aca="false">0.5*D196 + 0.5*F196</f>
        <v>0.0775525981770572</v>
      </c>
    </row>
    <row r="197" customFormat="false" ht="13.8" hidden="false" customHeight="false" outlineLevel="0" collapsed="false">
      <c r="A197" s="4" t="n">
        <v>44287</v>
      </c>
      <c r="B197" s="1" t="n">
        <f aca="false">Data!C197-Data!$B197</f>
        <v>0.05322716985248</v>
      </c>
      <c r="C197" s="1" t="n">
        <f aca="false">Data!D197-Data!$B197</f>
        <v>0.00919696315042295</v>
      </c>
      <c r="D197" s="1" t="n">
        <f aca="false">Data!E197-Data!$B197</f>
        <v>0.0421000495294699</v>
      </c>
      <c r="E197" s="1" t="n">
        <f aca="false">Data!F197-Data!$B197</f>
        <v>0.000427734138972902</v>
      </c>
      <c r="F197" s="1" t="n">
        <f aca="false">Data!G197-Data!$B197</f>
        <v>-0.00208986415882961</v>
      </c>
      <c r="H197" s="1" t="n">
        <f aca="false">0.5*D197 + 0.5*F197</f>
        <v>0.0200050926853201</v>
      </c>
    </row>
    <row r="198" customFormat="false" ht="13.8" hidden="false" customHeight="false" outlineLevel="0" collapsed="false">
      <c r="A198" s="4" t="n">
        <v>44317</v>
      </c>
      <c r="B198" s="1" t="n">
        <f aca="false">Data!C198-Data!$B198</f>
        <v>0.00686084142394816</v>
      </c>
      <c r="C198" s="1" t="n">
        <f aca="false">Data!D198-Data!$B198</f>
        <v>-0.056697247706422</v>
      </c>
      <c r="D198" s="1" t="n">
        <f aca="false">Data!E198-Data!$B198</f>
        <v>-0.0166349809885931</v>
      </c>
      <c r="E198" s="1" t="n">
        <f aca="false">Data!F198-Data!$B198</f>
        <v>0.00144003021148031</v>
      </c>
      <c r="F198" s="1" t="n">
        <f aca="false">Data!G198-Data!$B198</f>
        <v>0.032460732984293</v>
      </c>
      <c r="H198" s="1" t="n">
        <f aca="false">0.5*D198 + 0.5*F198</f>
        <v>0.00791287599784995</v>
      </c>
    </row>
    <row r="199" customFormat="false" ht="13.8" hidden="false" customHeight="false" outlineLevel="0" collapsed="false">
      <c r="A199" s="4" t="n">
        <v>44348</v>
      </c>
      <c r="B199" s="1" t="n">
        <f aca="false">Data!C199-Data!$B199</f>
        <v>0.0232327522178148</v>
      </c>
      <c r="C199" s="1" t="n">
        <f aca="false">Data!D199-Data!$B199</f>
        <v>0.059910523244505</v>
      </c>
      <c r="D199" s="1" t="n">
        <f aca="false">Data!E199-Data!$B199</f>
        <v>-0.0223405256569296</v>
      </c>
      <c r="E199" s="1" t="n">
        <f aca="false">Data!F199-Data!$B199</f>
        <v>-0.00263065392354112</v>
      </c>
      <c r="F199" s="1" t="n">
        <f aca="false">Data!G199-Data!$B199</f>
        <v>-0.00912778904665312</v>
      </c>
      <c r="H199" s="1" t="n">
        <f aca="false">0.5*D199 + 0.5*F199</f>
        <v>-0.0157341573517914</v>
      </c>
    </row>
    <row r="200" customFormat="false" ht="13.8" hidden="false" customHeight="false" outlineLevel="0" collapsed="false">
      <c r="A200" s="4" t="n">
        <v>44378</v>
      </c>
      <c r="B200" s="1" t="n">
        <f aca="false">Data!C200-Data!$B200</f>
        <v>0.0236198638769851</v>
      </c>
      <c r="C200" s="1" t="n">
        <f aca="false">Data!D200-Data!$B200</f>
        <v>-0.0534042943659386</v>
      </c>
      <c r="D200" s="1" t="n">
        <f aca="false">Data!E200-Data!$B200</f>
        <v>0.0358030830432621</v>
      </c>
      <c r="E200" s="1" t="n">
        <f aca="false">Data!F200-Data!$B200</f>
        <v>0.00136024217961639</v>
      </c>
      <c r="F200" s="1" t="n">
        <f aca="false">Data!G200-Data!$B200</f>
        <v>0</v>
      </c>
      <c r="H200" s="1" t="n">
        <f aca="false">0.5*D200 + 0.5*F200</f>
        <v>0.0179015415216311</v>
      </c>
    </row>
    <row r="201" customFormat="false" ht="13.8" hidden="false" customHeight="false" outlineLevel="0" collapsed="false">
      <c r="A201" s="4" t="n">
        <v>44409</v>
      </c>
      <c r="B201" s="1" t="n">
        <f aca="false">Data!C201-Data!$B201</f>
        <v>0.0302903440293545</v>
      </c>
      <c r="C201" s="1" t="n">
        <f aca="false">Data!D201-Data!$B201</f>
        <v>0.0506656326741632</v>
      </c>
      <c r="D201" s="1" t="n">
        <f aca="false">Data!E201-Data!$B201</f>
        <v>0.0355256841094576</v>
      </c>
      <c r="E201" s="1" t="n">
        <f aca="false">Data!F201-Data!$B201</f>
        <v>-0.00161070564516119</v>
      </c>
      <c r="F201" s="1" t="n">
        <f aca="false">Data!G201-Data!$B201</f>
        <v>0.0235414534288638</v>
      </c>
      <c r="H201" s="1" t="n">
        <f aca="false">0.5*D201 + 0.5*F201</f>
        <v>0.0295335687691607</v>
      </c>
    </row>
    <row r="202" customFormat="false" ht="13.8" hidden="false" customHeight="false" outlineLevel="0" collapsed="false">
      <c r="A202" s="4" t="n">
        <v>44440</v>
      </c>
      <c r="B202" s="1" t="n">
        <f aca="false">Data!C202-Data!$B202</f>
        <v>-0.0466309235563363</v>
      </c>
      <c r="C202" s="1" t="n">
        <f aca="false">Data!D202-Data!$B202</f>
        <v>-0.0487759872062985</v>
      </c>
      <c r="D202" s="1" t="n">
        <f aca="false">Data!E202-Data!$B202</f>
        <v>-0.0578740167564423</v>
      </c>
      <c r="E202" s="1" t="n">
        <f aca="false">Data!F202-Data!$B202</f>
        <v>0.000489828282828286</v>
      </c>
      <c r="F202" s="1" t="n">
        <f aca="false">Data!G202-Data!$B202</f>
        <v>0.0089999999999999</v>
      </c>
      <c r="H202" s="1" t="n">
        <f aca="false">0.5*D202 + 0.5*F202</f>
        <v>-0.0244370083782212</v>
      </c>
    </row>
    <row r="203" customFormat="false" ht="13.8" hidden="false" customHeight="false" outlineLevel="0" collapsed="false">
      <c r="A203" s="4" t="n">
        <v>44470</v>
      </c>
      <c r="B203" s="1" t="n">
        <f aca="false">Data!C203-Data!$B203</f>
        <v>0.0699323559735459</v>
      </c>
      <c r="C203" s="1" t="n">
        <f aca="false">Data!D203-Data!$B203</f>
        <v>-0.0151956029744584</v>
      </c>
      <c r="D203" s="1" t="n">
        <f aca="false">Data!E203-Data!$B203</f>
        <v>0.0475012370113805</v>
      </c>
      <c r="E203" s="1" t="n">
        <f aca="false">Data!F203-Data!$B203</f>
        <v>-0.00456351515151521</v>
      </c>
      <c r="F203" s="1" t="n">
        <f aca="false">Data!G203-Data!$B203</f>
        <v>-0.00297324083250738</v>
      </c>
      <c r="H203" s="1" t="n">
        <f aca="false">0.5*D203 + 0.5*F203</f>
        <v>0.0222639980894366</v>
      </c>
    </row>
    <row r="204" customFormat="false" ht="13.8" hidden="false" customHeight="false" outlineLevel="0" collapsed="false">
      <c r="A204" s="4" t="n">
        <v>44501</v>
      </c>
      <c r="B204" s="1" t="n">
        <f aca="false">Data!C204-Data!$B204</f>
        <v>-0.00705086020494505</v>
      </c>
      <c r="C204" s="1" t="n">
        <f aca="false">Data!D204-Data!$B204</f>
        <v>-0.0787261982928431</v>
      </c>
      <c r="D204" s="1" t="n">
        <f aca="false">Data!E204-Data!$B204</f>
        <v>-0.0127538970240908</v>
      </c>
      <c r="E204" s="1" t="n">
        <f aca="false">Data!F204-Data!$B204</f>
        <v>-0.00254636548223342</v>
      </c>
      <c r="F204" s="1" t="n">
        <f aca="false">Data!G204-Data!$B204</f>
        <v>0.0467196819085487</v>
      </c>
      <c r="H204" s="1" t="n">
        <f aca="false">0.5*D204 + 0.5*F204</f>
        <v>0.016982892442229</v>
      </c>
    </row>
    <row r="205" customFormat="false" ht="13.8" hidden="false" customHeight="false" outlineLevel="0" collapsed="false">
      <c r="A205" s="4" t="n">
        <v>44531</v>
      </c>
      <c r="B205" s="1" t="n">
        <f aca="false">Data!C205-Data!$B205</f>
        <v>0.0445858266383139</v>
      </c>
      <c r="C205" s="1" t="n">
        <f aca="false">Data!D205-Data!$B205</f>
        <v>0.00514536724129998</v>
      </c>
      <c r="D205" s="1" t="n">
        <f aca="false">Data!E205-Data!$B205</f>
        <v>0.091204856767561</v>
      </c>
      <c r="E205" s="1" t="n">
        <f aca="false">Data!F205-Data!$B205</f>
        <v>-0.00160861507128308</v>
      </c>
      <c r="F205" s="1" t="n">
        <f aca="false">Data!G205-Data!$B205</f>
        <v>0.0461949797515417</v>
      </c>
      <c r="H205" s="1" t="n">
        <f aca="false">0.5*D205 + 0.5*F205</f>
        <v>0.0686999182595514</v>
      </c>
    </row>
    <row r="206" customFormat="false" ht="13.8" hidden="false" customHeight="false" outlineLevel="0" collapsed="false">
      <c r="A206" s="4" t="n">
        <v>44562</v>
      </c>
      <c r="B206" s="1" t="n">
        <f aca="false">Data!C206-Data!$B206</f>
        <v>-0.0518574091756469</v>
      </c>
      <c r="C206" s="1" t="n">
        <f aca="false">Data!D206-Data!$B206</f>
        <v>-0.100146317671923</v>
      </c>
      <c r="D206" s="1" t="n">
        <f aca="false">Data!E206-Data!$B206</f>
        <v>-0.0227169468423444</v>
      </c>
      <c r="E206" s="1" t="n">
        <f aca="false">Data!F206-Data!$B206</f>
        <v>-0.00765780612244904</v>
      </c>
      <c r="F206" s="1" t="n">
        <f aca="false">Data!G206-Data!$B206</f>
        <v>0.0536363636363637</v>
      </c>
      <c r="H206" s="1" t="n">
        <f aca="false">0.5*D206 + 0.5*F206</f>
        <v>0.0154597083970096</v>
      </c>
    </row>
    <row r="207" customFormat="false" ht="13.8" hidden="false" customHeight="false" outlineLevel="0" collapsed="false">
      <c r="A207" s="4" t="n">
        <v>44593</v>
      </c>
      <c r="B207" s="1" t="n">
        <f aca="false">Data!C207-Data!$B207</f>
        <v>-0.0299964033089557</v>
      </c>
      <c r="C207" s="1" t="n">
        <f aca="false">Data!D207-Data!$B207</f>
        <v>-0.0370370370370371</v>
      </c>
      <c r="D207" s="1" t="n">
        <f aca="false">Data!E207-Data!$B207</f>
        <v>-0.00976290097629018</v>
      </c>
      <c r="E207" s="1" t="n">
        <f aca="false">Data!F207-Data!$B207</f>
        <v>-0.00657710905349795</v>
      </c>
      <c r="F207" s="1" t="n">
        <f aca="false">Data!G207-Data!$B207</f>
        <v>-0.00949094046591881</v>
      </c>
      <c r="H207" s="1" t="n">
        <f aca="false">0.5*D207 + 0.5*F207</f>
        <v>-0.0096269207211045</v>
      </c>
    </row>
    <row r="208" customFormat="false" ht="13.8" hidden="false" customHeight="false" outlineLevel="0" collapsed="false">
      <c r="A208" s="4" t="n">
        <v>44621</v>
      </c>
      <c r="B208" s="1" t="n">
        <f aca="false">Data!C208-Data!$B208</f>
        <v>0.0369330272831927</v>
      </c>
      <c r="C208" s="1" t="n">
        <f aca="false">Data!D208-Data!$B208</f>
        <v>0.0467166979362101</v>
      </c>
      <c r="D208" s="1" t="n">
        <f aca="false">Data!E208-Data!$B208</f>
        <v>0.089939759549432</v>
      </c>
      <c r="E208" s="1" t="n">
        <f aca="false">Data!F208-Data!$B208</f>
        <v>-0.0160059792746115</v>
      </c>
      <c r="F208" s="1" t="n">
        <f aca="false">Data!G208-Data!$B208</f>
        <v>0.00087108013937276</v>
      </c>
      <c r="H208" s="1" t="n">
        <f aca="false">0.5*D208 + 0.5*F208</f>
        <v>0.0454054198444024</v>
      </c>
    </row>
    <row r="209" customFormat="false" ht="13.8" hidden="false" customHeight="false" outlineLevel="0" collapsed="false">
      <c r="A209" s="4" t="n">
        <v>44652</v>
      </c>
      <c r="B209" s="1" t="n">
        <f aca="false">Data!C209-Data!$B209</f>
        <v>-0.0873027259684361</v>
      </c>
      <c r="C209" s="1" t="n">
        <f aca="false">Data!D209-Data!$B209</f>
        <v>-0.0870227639361892</v>
      </c>
      <c r="D209" s="1" t="n">
        <f aca="false">Data!E209-Data!$B209</f>
        <v>-0.0342139454309225</v>
      </c>
      <c r="E209" s="1" t="n">
        <f aca="false">Data!F209-Data!$B209</f>
        <v>-0.0086639199157007</v>
      </c>
      <c r="F209" s="1" t="n">
        <f aca="false">Data!G209-Data!$B209</f>
        <v>0.0426457789382071</v>
      </c>
      <c r="H209" s="1" t="n">
        <f aca="false">0.5*D209 + 0.5*F209</f>
        <v>0.0042159167536423</v>
      </c>
    </row>
    <row r="210" customFormat="false" ht="13.8" hidden="false" customHeight="false" outlineLevel="0" collapsed="false">
      <c r="A210" s="4" t="n">
        <v>44682</v>
      </c>
      <c r="B210" s="1" t="n">
        <f aca="false">Data!C210-Data!$B210</f>
        <v>0.00140295265791598</v>
      </c>
      <c r="C210" s="1" t="n">
        <f aca="false">Data!D210-Data!$B210</f>
        <v>-0.0675425640522235</v>
      </c>
      <c r="D210" s="1" t="n">
        <f aca="false">Data!E210-Data!$B210</f>
        <v>0.0405071748878924</v>
      </c>
      <c r="E210" s="1" t="n">
        <f aca="false">Data!F210-Data!$B210</f>
        <v>0.00502691489361703</v>
      </c>
      <c r="F210" s="1" t="n">
        <f aca="false">Data!G210-Data!$B210</f>
        <v>0.00721252086811349</v>
      </c>
      <c r="H210" s="1" t="n">
        <f aca="false">0.5*D210 + 0.5*F210</f>
        <v>0.0238598478780029</v>
      </c>
    </row>
    <row r="211" customFormat="false" ht="13.8" hidden="false" customHeight="false" outlineLevel="0" collapsed="false">
      <c r="A211" s="4" t="n">
        <v>44713</v>
      </c>
      <c r="B211" s="1" t="n">
        <f aca="false">Data!C211-Data!$B211</f>
        <v>-0.0832540756003434</v>
      </c>
      <c r="C211" s="1" t="n">
        <f aca="false">Data!D211-Data!$B211</f>
        <v>0.0349714586402864</v>
      </c>
      <c r="D211" s="1" t="n">
        <f aca="false">Data!E211-Data!$B211</f>
        <v>-0.0588878939477617</v>
      </c>
      <c r="E211" s="1" t="n">
        <f aca="false">Data!F211-Data!$B211</f>
        <v>-0.0121107944915254</v>
      </c>
      <c r="F211" s="1" t="n">
        <f aca="false">Data!G211-Data!$B211</f>
        <v>-0.0221410107705054</v>
      </c>
      <c r="H211" s="1" t="n">
        <f aca="false">0.5*D211 + 0.5*F211</f>
        <v>-0.0405144523591336</v>
      </c>
    </row>
    <row r="212" customFormat="false" ht="13.8" hidden="false" customHeight="false" outlineLevel="0" collapsed="false">
      <c r="A212" s="4" t="n">
        <v>44743</v>
      </c>
      <c r="B212" s="1" t="n">
        <f aca="false">Data!C212-Data!$B212</f>
        <v>0.0912954724972811</v>
      </c>
      <c r="C212" s="1" t="n">
        <f aca="false">Data!D212-Data!$B212</f>
        <v>0.0311105691056911</v>
      </c>
      <c r="D212" s="1" t="n">
        <f aca="false">Data!E212-Data!$B212</f>
        <v>0.053042613897837</v>
      </c>
      <c r="E212" s="1" t="n">
        <f aca="false">Data!F212-Data!$B212</f>
        <v>0.00264374463519315</v>
      </c>
      <c r="F212" s="1" t="n">
        <f aca="false">Data!G212-Data!$B212</f>
        <v>0.00258696020321749</v>
      </c>
      <c r="H212" s="1" t="n">
        <f aca="false">0.5*D212 + 0.5*F212</f>
        <v>0.0278147870505272</v>
      </c>
    </row>
    <row r="213" customFormat="false" ht="13.8" hidden="false" customHeight="false" outlineLevel="0" collapsed="false">
      <c r="A213" s="4" t="n">
        <v>44774</v>
      </c>
      <c r="B213" s="1" t="n">
        <f aca="false">Data!C213-Data!$B213</f>
        <v>-0.0428067085953879</v>
      </c>
      <c r="C213" s="1" t="n">
        <f aca="false">Data!D213-Data!$B213</f>
        <v>-0.00111213314949786</v>
      </c>
      <c r="D213" s="1" t="n">
        <f aca="false">Data!E213-Data!$B213</f>
        <v>-0.00102663755458508</v>
      </c>
      <c r="E213" s="1" t="n">
        <f aca="false">Data!F213-Data!$B213</f>
        <v>-0.00770047109207704</v>
      </c>
      <c r="F213" s="1" t="n">
        <f aca="false">Data!G213-Data!$B213</f>
        <v>-0.0103388185654009</v>
      </c>
      <c r="H213" s="1" t="n">
        <f aca="false">0.5*D213 + 0.5*F213</f>
        <v>-0.00568272805999297</v>
      </c>
    </row>
    <row r="214" customFormat="false" ht="13.8" hidden="false" customHeight="false" outlineLevel="0" collapsed="false">
      <c r="A214" s="4" t="n">
        <v>44805</v>
      </c>
      <c r="B214" s="1" t="n">
        <f aca="false">Data!C214-Data!$B214</f>
        <v>-0.0941013629502215</v>
      </c>
      <c r="C214" s="1" t="n">
        <f aca="false">Data!D214-Data!$B214</f>
        <v>-0.0157752214131077</v>
      </c>
      <c r="D214" s="1" t="n">
        <f aca="false">Data!E214-Data!$B214</f>
        <v>-0.113126773770024</v>
      </c>
      <c r="E214" s="1" t="n">
        <f aca="false">Data!F214-Data!$B214</f>
        <v>-0.0161055663430422</v>
      </c>
      <c r="F214" s="1" t="n">
        <f aca="false">Data!G214-Data!$B214</f>
        <v>0.0202276595744682</v>
      </c>
      <c r="H214" s="1" t="n">
        <f aca="false">0.5*D214 + 0.5*F214</f>
        <v>-0.0464495570977779</v>
      </c>
    </row>
    <row r="215" customFormat="false" ht="13.8" hidden="false" customHeight="false" outlineLevel="0" collapsed="false">
      <c r="A215" s="4" t="n">
        <v>44835</v>
      </c>
      <c r="B215" s="1" t="n">
        <f aca="false">Data!C215-Data!$B215</f>
        <v>0.078512354558917</v>
      </c>
      <c r="C215" s="1" t="n">
        <f aca="false">Data!D215-Data!$B215</f>
        <v>0.0403105179123841</v>
      </c>
      <c r="D215" s="1" t="n">
        <f aca="false">Data!E215-Data!$B215</f>
        <v>0.0218736556487422</v>
      </c>
      <c r="E215" s="1" t="n">
        <f aca="false">Data!F215-Data!$B215</f>
        <v>-0.0088105043859649</v>
      </c>
      <c r="F215" s="1" t="n">
        <f aca="false">Data!G215-Data!$B215</f>
        <v>0.0201812656119899</v>
      </c>
      <c r="H215" s="1" t="n">
        <f aca="false">0.5*D215 + 0.5*F215</f>
        <v>0.0210274606303661</v>
      </c>
    </row>
    <row r="216" customFormat="false" ht="13.8" hidden="false" customHeight="false" outlineLevel="0" collapsed="false">
      <c r="A216" s="4" t="n">
        <v>44866</v>
      </c>
      <c r="B216" s="1" t="n">
        <f aca="false">Data!C216-Data!$B216</f>
        <v>0.0528559488857198</v>
      </c>
      <c r="C216" s="1" t="n">
        <f aca="false">Data!D216-Data!$B216</f>
        <v>0.0653427258805514</v>
      </c>
      <c r="D216" s="1" t="n">
        <f aca="false">Data!E216-Data!$B216</f>
        <v>0.0679092485549132</v>
      </c>
      <c r="E216" s="1" t="n">
        <f aca="false">Data!F216-Data!$B216</f>
        <v>0.00627832964601772</v>
      </c>
      <c r="F216" s="1" t="n">
        <f aca="false">Data!G216-Data!$B216</f>
        <v>-0.0159293159609121</v>
      </c>
      <c r="H216" s="1" t="n">
        <f aca="false">0.5*D216 + 0.5*F216</f>
        <v>0.0259899662970006</v>
      </c>
    </row>
    <row r="217" customFormat="false" ht="13.8" hidden="false" customHeight="false" outlineLevel="0" collapsed="false">
      <c r="A217" s="4" t="n">
        <v>44896</v>
      </c>
      <c r="B217" s="1" t="n">
        <f aca="false">Data!C217-Data!$B217</f>
        <v>-0.0610267036651241</v>
      </c>
      <c r="C217" s="1" t="n">
        <f aca="false">Data!D217-Data!$B217</f>
        <v>-0.0405598379344368</v>
      </c>
      <c r="D217" s="1" t="n">
        <f aca="false">Data!E217-Data!$B217</f>
        <v>-0.0130827384784093</v>
      </c>
      <c r="E217" s="1" t="n">
        <f aca="false">Data!F217-Data!$B217</f>
        <v>0.00017998901098912</v>
      </c>
      <c r="F217" s="1" t="n">
        <f aca="false">Data!G217-Data!$B217</f>
        <v>0.0266154057166622</v>
      </c>
      <c r="H217" s="1" t="n">
        <f aca="false">0.5*D217 + 0.5*F217</f>
        <v>0.00676633361912647</v>
      </c>
    </row>
    <row r="218" customFormat="false" ht="13.8" hidden="false" customHeight="false" outlineLevel="0" collapsed="false">
      <c r="A218" s="4" t="n">
        <v>44927</v>
      </c>
      <c r="B218" s="1" t="n">
        <f aca="false">Data!C218-Data!$B218</f>
        <v>0.0591817629951717</v>
      </c>
      <c r="C218" s="1" t="n">
        <f aca="false">Data!D218-Data!$B218</f>
        <v>0.0499898891063274</v>
      </c>
      <c r="D218" s="1" t="n">
        <f aca="false">Data!E218-Data!$B218</f>
        <v>-0.0132357440890126</v>
      </c>
      <c r="E218" s="1" t="n">
        <f aca="false">Data!F218-Data!$B218</f>
        <v>0.008109076923077</v>
      </c>
      <c r="F218" s="1" t="n">
        <f aca="false">Data!G218-Data!$B218</f>
        <v>-0.0147994350282486</v>
      </c>
      <c r="H218" s="1" t="n">
        <f aca="false">0.5*D218 + 0.5*F218</f>
        <v>-0.0140175895586306</v>
      </c>
    </row>
    <row r="219" customFormat="false" ht="13.8" hidden="false" customHeight="false" outlineLevel="0" collapsed="false">
      <c r="A219" s="4" t="n">
        <v>44958</v>
      </c>
      <c r="B219" s="1" t="n">
        <f aca="false">Data!C219-Data!$B219</f>
        <v>-0.0278971703376997</v>
      </c>
      <c r="C219" s="1" t="n">
        <f aca="false">Data!D219-Data!$B219</f>
        <v>-0.0509895621406457</v>
      </c>
      <c r="D219" s="1" t="n">
        <f aca="false">Data!E219-Data!$B219</f>
        <v>-0.0539617977528089</v>
      </c>
      <c r="E219" s="1" t="n">
        <f aca="false">Data!F219-Data!$B219</f>
        <v>-0.013538725490196</v>
      </c>
      <c r="F219" s="1" t="n">
        <f aca="false">Data!G219-Data!$B219</f>
        <v>0.0161918367346939</v>
      </c>
      <c r="H219" s="1" t="n">
        <f aca="false">0.5*D219 + 0.5*F219</f>
        <v>-0.0188849805090575</v>
      </c>
    </row>
    <row r="220" customFormat="false" ht="13.8" hidden="false" customHeight="false" outlineLevel="0" collapsed="false">
      <c r="A220" s="4" t="n">
        <v>44986</v>
      </c>
      <c r="B220" s="1" t="n">
        <f aca="false">Data!C220-Data!$B220</f>
        <v>0.0329731276856522</v>
      </c>
      <c r="C220" s="1" t="n">
        <f aca="false">Data!D220-Data!$B220</f>
        <v>0.00160107736602582</v>
      </c>
      <c r="D220" s="1" t="n">
        <f aca="false">Data!E220-Data!$B220</f>
        <v>0.0418416638943307</v>
      </c>
      <c r="E220" s="1" t="n">
        <f aca="false">Data!F220-Data!$B220</f>
        <v>0.0099468763796909</v>
      </c>
      <c r="F220" s="1" t="n">
        <f aca="false">Data!G220-Data!$B220</f>
        <v>-0.024344536709564</v>
      </c>
      <c r="H220" s="1" t="n">
        <f aca="false">0.5*D220 + 0.5*F220</f>
        <v>0.00874856359238335</v>
      </c>
    </row>
    <row r="221" customFormat="false" ht="13.8" hidden="false" customHeight="false" outlineLevel="0" collapsed="false">
      <c r="A221" s="4" t="n">
        <v>45017</v>
      </c>
      <c r="B221" s="1" t="n">
        <f aca="false">Data!C221-Data!$B221</f>
        <v>0.0120091920976973</v>
      </c>
      <c r="C221" s="1" t="n">
        <f aca="false">Data!D221-Data!$B221</f>
        <v>0.035953016723644</v>
      </c>
      <c r="D221" s="1" t="n">
        <f aca="false">Data!E221-Data!$B221</f>
        <v>0.0145265654648957</v>
      </c>
      <c r="E221" s="1" t="n">
        <f aca="false">Data!F221-Data!$B221</f>
        <v>-0.00155150819672117</v>
      </c>
      <c r="F221" s="1" t="n">
        <f aca="false">Data!G221-Data!$B221</f>
        <v>-0.0149472608340148</v>
      </c>
      <c r="H221" s="1" t="n">
        <f aca="false">0.5*D221 + 0.5*F221</f>
        <v>-0.00021034768455955</v>
      </c>
    </row>
    <row r="222" customFormat="false" ht="13.8" hidden="false" customHeight="false" outlineLevel="0" collapsed="false">
      <c r="A222" s="4" t="n">
        <v>45047</v>
      </c>
      <c r="B222" s="1" t="n">
        <f aca="false">Data!C222-Data!$B222</f>
        <v>0.00060768291732676</v>
      </c>
      <c r="C222" s="1" t="n">
        <f aca="false">Data!D222-Data!$B222</f>
        <v>-0.038</v>
      </c>
      <c r="D222" s="1" t="n">
        <f aca="false">Data!E222-Data!$B222</f>
        <v>-0.0632458527493011</v>
      </c>
      <c r="E222" s="1" t="n">
        <f aca="false">Data!F222-Data!$B222</f>
        <v>-0.00693307439824948</v>
      </c>
      <c r="F222" s="1" t="n">
        <f aca="false">Data!G222-Data!$B222</f>
        <v>0.00549842845326714</v>
      </c>
      <c r="H222" s="1" t="n">
        <f aca="false">0.5*D222 + 0.5*F222</f>
        <v>-0.028873712148017</v>
      </c>
    </row>
    <row r="223" customFormat="false" ht="13.8" hidden="false" customHeight="false" outlineLevel="0" collapsed="false">
      <c r="A223" s="4" t="n">
        <v>45078</v>
      </c>
      <c r="B223" s="1" t="n">
        <f aca="false">Data!C223-Data!$B223</f>
        <v>0.0619523891273988</v>
      </c>
      <c r="C223" s="1" t="n">
        <f aca="false">Data!D223-Data!$B223</f>
        <v>0.0102686182454204</v>
      </c>
      <c r="D223" s="1" t="n">
        <f aca="false">Data!E223-Data!$B223</f>
        <v>0.0182733264695412</v>
      </c>
      <c r="E223" s="1" t="n">
        <f aca="false">Data!F223-Data!$B223</f>
        <v>-0.00839681718061669</v>
      </c>
      <c r="F223" s="1" t="n">
        <f aca="false">Data!G223-Data!$B223</f>
        <v>0.0205901639344264</v>
      </c>
      <c r="H223" s="1" t="n">
        <f aca="false">0.5*D223 + 0.5*F223</f>
        <v>0.0194317452019838</v>
      </c>
    </row>
    <row r="224" customFormat="false" ht="13.8" hidden="false" customHeight="false" outlineLevel="0" collapsed="false">
      <c r="A224" s="4" t="n">
        <v>45108</v>
      </c>
      <c r="B224" s="1" t="n">
        <f aca="false">Data!C224-Data!$B224</f>
        <v>0.0275239631785304</v>
      </c>
      <c r="C224" s="1" t="n">
        <f aca="false">Data!D224-Data!$B224</f>
        <v>0.0232727355236883</v>
      </c>
      <c r="D224" s="1" t="n">
        <f aca="false">Data!E224-Data!$B224</f>
        <v>0.0213410531448072</v>
      </c>
      <c r="E224" s="1" t="n">
        <f aca="false">Data!F224-Data!$B224</f>
        <v>0.00282806881243064</v>
      </c>
      <c r="F224" s="1" t="n">
        <f aca="false">Data!G224-Data!$B224</f>
        <v>-0.00210000000000004</v>
      </c>
      <c r="H224" s="1" t="n">
        <f aca="false">0.5*D224 + 0.5*F224</f>
        <v>0.00962052657240358</v>
      </c>
    </row>
    <row r="225" customFormat="false" ht="13.8" hidden="false" customHeight="false" outlineLevel="0" collapsed="false">
      <c r="A225" s="4" t="n">
        <v>45139</v>
      </c>
      <c r="B225" s="1" t="n">
        <f aca="false">Data!C225-Data!$B225</f>
        <v>-0.02052246448629</v>
      </c>
      <c r="C225" s="1" t="n">
        <f aca="false">Data!D225-Data!$B225</f>
        <v>-0.0137723419286471</v>
      </c>
      <c r="D225" s="1" t="n">
        <f aca="false">Data!E225-Data!$B225</f>
        <v>-0.0639106463878327</v>
      </c>
      <c r="E225" s="1" t="n">
        <f aca="false">Data!F225-Data!$B225</f>
        <v>-0.00021579005524846</v>
      </c>
      <c r="F225" s="1" t="n">
        <f aca="false">Data!G225-Data!$B225</f>
        <v>0.0266252992817239</v>
      </c>
      <c r="H225" s="1" t="n">
        <f aca="false">0.5*D225 + 0.5*F225</f>
        <v>-0.0186426735530544</v>
      </c>
    </row>
    <row r="226" customFormat="false" ht="13.8" hidden="false" customHeight="false" outlineLevel="0" collapsed="false">
      <c r="A226" s="4" t="n">
        <v>45170</v>
      </c>
      <c r="B226" s="1" t="n">
        <f aca="false">Data!C226-Data!$B226</f>
        <v>-0.0520831162587767</v>
      </c>
      <c r="C226" s="1" t="n">
        <f aca="false">Data!D226-Data!$B226</f>
        <v>-0.0390624565469292</v>
      </c>
      <c r="D226" s="1" t="n">
        <f aca="false">Data!E226-Data!$B226</f>
        <v>-0.0562897854984788</v>
      </c>
      <c r="E226" s="1" t="n">
        <f aca="false">Data!F226-Data!$B226</f>
        <v>-0.00431848785871983</v>
      </c>
      <c r="F226" s="1" t="n">
        <f aca="false">Data!G226-Data!$B226</f>
        <v>0.0405916408668731</v>
      </c>
      <c r="H226" s="1" t="n">
        <f aca="false">0.5*D226 + 0.5*F226</f>
        <v>-0.00784907231580285</v>
      </c>
    </row>
    <row r="227" customFormat="false" ht="13.8" hidden="false" customHeight="false" outlineLevel="0" collapsed="false">
      <c r="A227" s="4" t="n">
        <v>45200</v>
      </c>
      <c r="B227" s="1" t="n">
        <f aca="false">Data!C227-Data!$B227</f>
        <v>-0.0258539919629995</v>
      </c>
      <c r="C227" s="1" t="n">
        <f aca="false">Data!D227-Data!$B227</f>
        <v>-0.0617689814387294</v>
      </c>
      <c r="D227" s="1" t="n">
        <f aca="false">Data!E227-Data!$B227</f>
        <v>0.00441528150134067</v>
      </c>
      <c r="E227" s="1" t="n">
        <f aca="false">Data!F227-Data!$B227</f>
        <v>-0.00169487264673303</v>
      </c>
      <c r="F227" s="1" t="n">
        <f aca="false">Data!G227-Data!$B227</f>
        <v>0.00270740740740731</v>
      </c>
      <c r="H227" s="1" t="n">
        <f aca="false">0.5*D227 + 0.5*F227</f>
        <v>0.00356134445437399</v>
      </c>
    </row>
    <row r="228" customFormat="false" ht="13.8" hidden="false" customHeight="false" outlineLevel="0" collapsed="false">
      <c r="A228" s="4" t="n">
        <v>45231</v>
      </c>
      <c r="B228" s="1" t="n">
        <f aca="false">Data!C228-Data!$B228</f>
        <v>0.0867954557190808</v>
      </c>
      <c r="C228" s="1" t="n">
        <f aca="false">Data!D228-Data!$B228</f>
        <v>0.0374176476349035</v>
      </c>
      <c r="D228" s="1" t="n">
        <f aca="false">Data!E228-Data!$B228</f>
        <v>0.0466095642933051</v>
      </c>
      <c r="E228" s="1" t="n">
        <f aca="false">Data!F228-Data!$B228</f>
        <v>0.008859557032115</v>
      </c>
      <c r="F228" s="1" t="n">
        <f aca="false">Data!G228-Data!$B228</f>
        <v>0.00368823529411784</v>
      </c>
      <c r="H228" s="1" t="n">
        <f aca="false">0.5*D228 + 0.5*F228</f>
        <v>0.0251488997937115</v>
      </c>
    </row>
    <row r="229" customFormat="false" ht="13.8" hidden="false" customHeight="false" outlineLevel="0" collapsed="false">
      <c r="A229" s="4" t="n">
        <v>45261</v>
      </c>
      <c r="B229" s="1" t="n">
        <f aca="false">Data!C229-Data!$B229</f>
        <v>0.0410026164010488</v>
      </c>
      <c r="C229" s="1" t="n">
        <f aca="false">Data!D229-Data!$B229</f>
        <v>0.190097443128408</v>
      </c>
      <c r="D229" s="1" t="n">
        <f aca="false">Data!E229-Data!$B229</f>
        <v>0.0154500713654955</v>
      </c>
      <c r="E229" s="1" t="n">
        <f aca="false">Data!F229-Data!$B229</f>
        <v>0.0078788706140349</v>
      </c>
      <c r="F229" s="1" t="n">
        <f aca="false">Data!G229-Data!$B229</f>
        <v>0.0174653663837145</v>
      </c>
      <c r="H229" s="1" t="n">
        <f aca="false">0.5*D229 + 0.5*F229</f>
        <v>0.016457718874605</v>
      </c>
    </row>
    <row r="230" customFormat="false" ht="13.8" hidden="false" customHeight="false" outlineLevel="0" collapsed="false">
      <c r="A230" s="4" t="n">
        <v>45292</v>
      </c>
      <c r="B230" s="1" t="n">
        <f aca="false">Data!C230-Data!$B230</f>
        <v>0.0119799227360526</v>
      </c>
      <c r="C230" s="1" t="n">
        <f aca="false">Data!D230-Data!$B230</f>
        <v>0.0436236266330867</v>
      </c>
      <c r="D230" s="1" t="n">
        <f aca="false">Data!E230-Data!$B230</f>
        <v>-0.0342796574987026</v>
      </c>
      <c r="E230" s="1" t="n">
        <f aca="false">Data!F230-Data!$B230</f>
        <v>0.00039866304347839</v>
      </c>
      <c r="F230" s="1" t="n">
        <f aca="false">Data!G230-Data!$B230</f>
        <v>0.0391397581254724</v>
      </c>
      <c r="H230" s="1" t="n">
        <f aca="false">0.5*D230 + 0.5*F230</f>
        <v>0.0024300503133849</v>
      </c>
    </row>
    <row r="231" customFormat="false" ht="13.8" hidden="false" customHeight="false" outlineLevel="0" collapsed="false">
      <c r="A231" s="4" t="n">
        <v>45323</v>
      </c>
      <c r="B231" s="1" t="n">
        <f aca="false">Data!C231-Data!$B231</f>
        <v>0.0490868414582357</v>
      </c>
      <c r="C231" s="1" t="n">
        <f aca="false">Data!D231-Data!$B231</f>
        <v>0.0759051051051052</v>
      </c>
      <c r="D231" s="1" t="n">
        <f aca="false">Data!E231-Data!$B231</f>
        <v>0.0064951871657754</v>
      </c>
      <c r="E231" s="1" t="n">
        <f aca="false">Data!F231-Data!$B231</f>
        <v>-0.00765828633405643</v>
      </c>
      <c r="F231" s="1" t="n">
        <f aca="false">Data!G231-Data!$B231</f>
        <v>-0.0107170166545981</v>
      </c>
      <c r="H231" s="1" t="n">
        <f aca="false">0.5*D231 + 0.5*F231</f>
        <v>-0.00211091474441137</v>
      </c>
    </row>
    <row r="232" customFormat="false" ht="13.8" hidden="false" customHeight="false" outlineLevel="0" collapsed="false">
      <c r="A232" s="4" t="n">
        <v>45352</v>
      </c>
      <c r="B232" s="1" t="n">
        <f aca="false">Data!C232-Data!$B232</f>
        <v>0.0277530095060976</v>
      </c>
      <c r="C232" s="1" t="n">
        <f aca="false">Data!D232-Data!$B232</f>
        <v>-0.0198001042607911</v>
      </c>
      <c r="D232" s="1" t="n">
        <f aca="false">Data!E232-Data!$B232</f>
        <v>0.0678226284140193</v>
      </c>
      <c r="E232" s="1" t="n">
        <f aca="false">Data!F232-Data!$B232</f>
        <v>-0.00099577510917029</v>
      </c>
      <c r="F232" s="1" t="n">
        <f aca="false">Data!G232-Data!$B232</f>
        <v>0.0136166666666668</v>
      </c>
      <c r="H232" s="1" t="n">
        <f aca="false">0.5*D232 + 0.5*F232</f>
        <v>0.0407196475403431</v>
      </c>
    </row>
    <row r="233" customFormat="false" ht="13.8" hidden="false" customHeight="false" outlineLevel="0" collapsed="false">
      <c r="A233" s="4" t="n">
        <v>45383</v>
      </c>
      <c r="B233" s="1" t="n">
        <f aca="false">Data!C233-Data!$B233</f>
        <v>-0.0456560537006868</v>
      </c>
      <c r="C233" s="1" t="n">
        <f aca="false">Data!D233-Data!$B233</f>
        <v>-0.0700770121434623</v>
      </c>
      <c r="D233" s="1" t="n">
        <f aca="false">Data!E233-Data!$B233</f>
        <v>0.008209632571996</v>
      </c>
      <c r="E233" s="1" t="n">
        <f aca="false">Data!F233-Data!$B233</f>
        <v>-0.00911932314410498</v>
      </c>
      <c r="F233" s="1" t="n">
        <f aca="false">Data!G233-Data!$B233</f>
        <v>0.00461232091690548</v>
      </c>
      <c r="H233" s="1" t="n">
        <f aca="false">0.5*D233 + 0.5*F233</f>
        <v>0.00641097674445074</v>
      </c>
    </row>
    <row r="234" customFormat="false" ht="13.8" hidden="false" customHeight="false" outlineLevel="0" collapsed="false">
      <c r="A234" s="4" t="n">
        <v>45413</v>
      </c>
      <c r="B234" s="1" t="n">
        <f aca="false">Data!C234-Data!$B234</f>
        <v>0.0450570476292873</v>
      </c>
      <c r="C234" s="1" t="n">
        <f aca="false">Data!D234-Data!$B234</f>
        <v>0.0196972956639975</v>
      </c>
      <c r="D234" s="1" t="n">
        <f aca="false">Data!E234-Data!$B234</f>
        <v>0.0764823529411766</v>
      </c>
      <c r="E234" s="1" t="n">
        <f aca="false">Data!F234-Data!$B234</f>
        <v>0.00458524752475249</v>
      </c>
      <c r="F234" s="1" t="n">
        <f aca="false">Data!G234-Data!$B234</f>
        <v>-0.0214333569907736</v>
      </c>
      <c r="H234" s="1" t="n">
        <f aca="false">0.5*D234 + 0.5*F234</f>
        <v>0.0275244979752015</v>
      </c>
    </row>
    <row r="235" customFormat="false" ht="13.8" hidden="false" customHeight="false" outlineLevel="0" collapsed="false">
      <c r="A235" s="4" t="n">
        <v>45444</v>
      </c>
      <c r="B235" s="1" t="n">
        <f aca="false">Data!C235-Data!$B235</f>
        <v>0.0316574019055424</v>
      </c>
      <c r="C235" s="1" t="n">
        <f aca="false">Data!D235-Data!$B235</f>
        <v>0.0209792948292395</v>
      </c>
      <c r="D235" s="1" t="n">
        <f aca="false">Data!E235-Data!$B235</f>
        <v>-0.0476683804104858</v>
      </c>
      <c r="E235" s="1" t="n">
        <f aca="false">Data!F235-Data!$B235</f>
        <v>0.00112412472647682</v>
      </c>
      <c r="F235" s="1" t="n">
        <f aca="false">Data!G235-Data!$B235</f>
        <v>-0.00048989169675085</v>
      </c>
      <c r="H235" s="1" t="n">
        <f aca="false">0.5*D235 + 0.5*F235</f>
        <v>-0.0240791360536183</v>
      </c>
    </row>
    <row r="236" customFormat="false" ht="13.8" hidden="false" customHeight="false" outlineLevel="0" collapsed="false">
      <c r="A236" s="4" t="n">
        <v>45474</v>
      </c>
      <c r="B236" s="1" t="n">
        <f aca="false">Data!C236-Data!$B236</f>
        <v>0.007547236280639</v>
      </c>
      <c r="C236" s="1" t="n">
        <f aca="false">Data!D236-Data!$B236</f>
        <v>0.0580314816147369</v>
      </c>
      <c r="D236" s="1" t="n">
        <f aca="false">Data!E236-Data!$B236</f>
        <v>0.0694151168335719</v>
      </c>
      <c r="E236" s="1" t="n">
        <f aca="false">Data!F236-Data!$B236</f>
        <v>0.0076691266375545</v>
      </c>
      <c r="F236" s="1" t="n">
        <f aca="false">Data!G236-Data!$B236</f>
        <v>0.0293129496402877</v>
      </c>
      <c r="H236" s="1" t="n">
        <f aca="false">0.5*D236 + 0.5*F236</f>
        <v>0.0493640332369298</v>
      </c>
    </row>
    <row r="237" customFormat="false" ht="13.8" hidden="false" customHeight="false" outlineLevel="0" collapsed="false">
      <c r="A237" s="4" t="n">
        <v>45505</v>
      </c>
      <c r="B237" s="1" t="n">
        <f aca="false">Data!C237-Data!$B237</f>
        <v>0.0193410417320365</v>
      </c>
      <c r="C237" s="1" t="n">
        <f aca="false">Data!D237-Data!$B237</f>
        <v>0.0134175267506433</v>
      </c>
      <c r="D237" s="1" t="n">
        <f aca="false">Data!E237-Data!$B237</f>
        <v>0.0400490230905863</v>
      </c>
      <c r="E237" s="1" t="n">
        <f aca="false">Data!F237-Data!$B237</f>
        <v>0.00302167748917728</v>
      </c>
      <c r="F237" s="1" t="n">
        <f aca="false">Data!G237-Data!$B237</f>
        <v>0.00215894224077942</v>
      </c>
      <c r="H237" s="1" t="n">
        <f aca="false">0.5*D237 + 0.5*F237</f>
        <v>0.0211039826656829</v>
      </c>
    </row>
    <row r="238" customFormat="false" ht="13.8" hidden="false" customHeight="false" outlineLevel="0" collapsed="false">
      <c r="A238" s="4" t="n">
        <v>45536</v>
      </c>
      <c r="B238" s="1" t="n">
        <f aca="false">Data!C238-Data!$B238</f>
        <v>0.0172262705680311</v>
      </c>
      <c r="C238" s="1" t="n">
        <f aca="false">Data!D238-Data!$B238</f>
        <v>-0.0202953109411372</v>
      </c>
      <c r="D238" s="1" t="n">
        <f aca="false">Data!E238-Data!$B238</f>
        <v>0.0500598042527305</v>
      </c>
      <c r="E238" s="1" t="n">
        <f aca="false">Data!F238-Data!$B238</f>
        <v>0.00551839439655178</v>
      </c>
      <c r="F238" s="1" t="n">
        <f aca="false">Data!G238-Data!$B238</f>
        <v>-0.00883759502418801</v>
      </c>
      <c r="H238" s="1" t="n">
        <f aca="false">0.5*D238 + 0.5*F238</f>
        <v>0.0206111046142712</v>
      </c>
    </row>
    <row r="239" customFormat="false" ht="13.8" hidden="false" customHeight="false" outlineLevel="0" collapsed="false">
      <c r="A239" s="4" t="n">
        <v>45566</v>
      </c>
      <c r="B239" s="1" t="n">
        <f aca="false">Data!C239-Data!$B239</f>
        <v>-0.013057578036856</v>
      </c>
      <c r="C239" s="1" t="n">
        <f aca="false">Data!D239-Data!$B239</f>
        <v>-0.0263475997295469</v>
      </c>
      <c r="D239" s="1" t="n">
        <f aca="false">Data!E239-Data!$B239</f>
        <v>-0.00916742301458671</v>
      </c>
      <c r="E239" s="1" t="n">
        <f aca="false">Data!F239-Data!$B239</f>
        <v>-0.0113801820128478</v>
      </c>
      <c r="F239" s="1" t="n">
        <f aca="false">Data!G239-Data!$B239</f>
        <v>-0.0170944444444444</v>
      </c>
      <c r="H239" s="1" t="n">
        <f aca="false">0.5*D239 + 0.5*F239</f>
        <v>-0.0131309337295156</v>
      </c>
    </row>
    <row r="240" customFormat="false" ht="13.8" hidden="false" customHeight="false" outlineLevel="0" collapsed="false">
      <c r="A240" s="4" t="n">
        <v>45597</v>
      </c>
      <c r="B240" s="1" t="n">
        <f aca="false">Data!C240-Data!$B240</f>
        <v>0.0545656538819199</v>
      </c>
      <c r="C240" s="1" t="n">
        <f aca="false">Data!D240-Data!$B240</f>
        <v>-0.0265480702725136</v>
      </c>
      <c r="D240" s="1" t="n">
        <f aca="false">Data!E240-Data!$B240</f>
        <v>0.0542484725050916</v>
      </c>
      <c r="E240" s="1" t="n">
        <f aca="false">Data!F240-Data!$B240</f>
        <v>0.00044951298701279</v>
      </c>
      <c r="F240" s="1" t="n">
        <f aca="false">Data!G240-Data!$B240</f>
        <v>-0.0208895144264603</v>
      </c>
      <c r="H240" s="1" t="n">
        <f aca="false">0.5*D240 + 0.5*F240</f>
        <v>0.0166794790393157</v>
      </c>
    </row>
    <row r="241" customFormat="false" ht="13.8" hidden="false" customHeight="false" outlineLevel="0" collapsed="false">
      <c r="A241" s="4" t="n">
        <v>45627</v>
      </c>
      <c r="B241" s="1" t="n">
        <f aca="false">Data!C241-Data!$B241</f>
        <v>-0.0276562635671736</v>
      </c>
      <c r="C241" s="1" t="n">
        <f aca="false">Data!D241-Data!$B241</f>
        <v>-0.0686554246016495</v>
      </c>
      <c r="D241" s="1" t="n">
        <f aca="false">Data!E241-Data!$B241</f>
        <v>-0.0729162763348745</v>
      </c>
      <c r="E241" s="1" t="n">
        <f aca="false">Data!F241-Data!$B241</f>
        <v>-0.00044566486486493</v>
      </c>
      <c r="F241" s="1" t="n">
        <f aca="false">Data!G241-Data!$B241</f>
        <v>-0.00173463486446686</v>
      </c>
      <c r="H241" s="1" t="n">
        <f aca="false">0.5*D241 + 0.5*F241</f>
        <v>-0.0373254555996707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5" width="38.9"/>
  </cols>
  <sheetData>
    <row r="1" customFormat="false" ht="13.8" hidden="false" customHeight="false" outlineLevel="0" collapsed="false">
      <c r="A1" s="7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 customFormat="false" ht="13.8" hidden="false" customHeight="false" outlineLevel="0" collapsed="false">
      <c r="A2" s="7"/>
    </row>
    <row r="3" customFormat="false" ht="13.8" hidden="false" customHeight="false" outlineLevel="0" collapsed="false">
      <c r="A3" s="9" t="s">
        <v>14</v>
      </c>
    </row>
    <row r="4" customFormat="false" ht="13.8" hidden="false" customHeight="false" outlineLevel="0" collapsed="false">
      <c r="A4" s="7"/>
    </row>
    <row r="5" customFormat="false" ht="13.8" hidden="false" customHeight="false" outlineLevel="0" collapsed="false">
      <c r="A5" s="7" t="s">
        <v>15</v>
      </c>
      <c r="B5" s="1" t="n">
        <f aca="false">AVERAGE('Excess returns'!B2:B241)</f>
        <v>0.00780016872505368</v>
      </c>
      <c r="C5" s="1" t="n">
        <f aca="false">AVERAGE('Excess returns'!C2:C241)</f>
        <v>0.00769082860704189</v>
      </c>
      <c r="D5" s="1" t="n">
        <f aca="false">AVERAGE('Excess returns'!D2:D241)</f>
        <v>0.00674380466273437</v>
      </c>
      <c r="E5" s="1" t="n">
        <f aca="false">AVERAGE('Excess returns'!E2:E241)</f>
        <v>0.000702337442067878</v>
      </c>
      <c r="F5" s="1" t="n">
        <f aca="false">AVERAGE('Excess returns'!F2:F241)</f>
        <v>0.00123123149064922</v>
      </c>
    </row>
    <row r="6" customFormat="false" ht="13.8" hidden="false" customHeight="false" outlineLevel="0" collapsed="false">
      <c r="A6" s="7" t="s">
        <v>16</v>
      </c>
      <c r="B6" s="10" t="n">
        <f aca="false">STDEV('Excess returns'!B2:B241)</f>
        <v>0.0433401135292213</v>
      </c>
      <c r="C6" s="10" t="n">
        <f aca="false">STDEV('Excess returns'!C2:C241)</f>
        <v>0.060992799567888</v>
      </c>
      <c r="D6" s="10" t="n">
        <f aca="false">STDEV('Excess returns'!D2:D241)</f>
        <v>0.039441439125182</v>
      </c>
      <c r="E6" s="10" t="n">
        <f aca="false">STDEV('Excess returns'!E2:E241)</f>
        <v>0.00744630238200334</v>
      </c>
      <c r="F6" s="10" t="n">
        <f aca="false">STDEV('Excess returns'!F2:F241)</f>
        <v>0.0169626677414861</v>
      </c>
    </row>
    <row r="7" customFormat="false" ht="13.8" hidden="false" customHeight="false" outlineLevel="0" collapsed="false">
      <c r="A7" s="7" t="s">
        <v>17</v>
      </c>
      <c r="B7" s="11" t="n">
        <f aca="false">B5/B6</f>
        <v>0.179975733561348</v>
      </c>
      <c r="C7" s="11" t="n">
        <f aca="false">C5/C6</f>
        <v>0.126094041616857</v>
      </c>
      <c r="D7" s="11" t="n">
        <f aca="false">D5/D6</f>
        <v>0.170982723052534</v>
      </c>
      <c r="E7" s="11" t="n">
        <f aca="false">E5/E6</f>
        <v>0.094320295636305</v>
      </c>
      <c r="F7" s="11" t="n">
        <f aca="false">F5/F6</f>
        <v>0.0725847790815333</v>
      </c>
    </row>
    <row r="9" customFormat="false" ht="13.8" hidden="false" customHeight="false" outlineLevel="0" collapsed="false">
      <c r="A9" s="12" t="s">
        <v>18</v>
      </c>
      <c r="B9" s="5" t="s">
        <v>19</v>
      </c>
    </row>
    <row r="10" customFormat="false" ht="13.8" hidden="false" customHeight="false" outlineLevel="0" collapsed="false">
      <c r="A10" s="12"/>
    </row>
    <row r="12" customFormat="false" ht="13.8" hidden="false" customHeight="false" outlineLevel="0" collapsed="false">
      <c r="A12" s="9" t="s">
        <v>20</v>
      </c>
    </row>
    <row r="14" customFormat="false" ht="13.8" hidden="false" customHeight="false" outlineLevel="0" collapsed="false">
      <c r="A14" s="7" t="s">
        <v>21</v>
      </c>
      <c r="B14" s="11"/>
      <c r="C14" s="11" t="n">
        <f aca="false">CORREL('Excess returns'!C2:C241,'Excess returns'!$B2:$B241)</f>
        <v>0.591806695319026</v>
      </c>
      <c r="D14" s="11" t="n">
        <f aca="false">CORREL('Excess returns'!D2:D241,'Excess returns'!$B2:$B241)</f>
        <v>0.564967378601654</v>
      </c>
      <c r="E14" s="11" t="n">
        <f aca="false">CORREL('Excess returns'!E2:E241,'Excess returns'!$B2:$B241)</f>
        <v>0.396753732199963</v>
      </c>
      <c r="F14" s="11" t="n">
        <f aca="false">CORREL('Excess returns'!F2:F241,'Excess returns'!$B2:$B241)</f>
        <v>-0.00674342378822872</v>
      </c>
    </row>
    <row r="15" customFormat="false" ht="13.8" hidden="false" customHeight="false" outlineLevel="0" collapsed="false">
      <c r="A15" s="7" t="s">
        <v>22</v>
      </c>
      <c r="B15" s="11"/>
      <c r="C15" s="11" t="n">
        <f aca="false">C14*C6/$B6</f>
        <v>0.832853082541892</v>
      </c>
      <c r="D15" s="11" t="n">
        <f aca="false">D14*D6/$B6</f>
        <v>0.514145549152906</v>
      </c>
      <c r="E15" s="11" t="n">
        <f aca="false">E14*E6/$B6</f>
        <v>0.0681666018054471</v>
      </c>
      <c r="F15" s="11" t="n">
        <f aca="false">F14*F6/$B6</f>
        <v>-0.00263927451603546</v>
      </c>
    </row>
    <row r="16" customFormat="false" ht="13.8" hidden="false" customHeight="false" outlineLevel="0" collapsed="false">
      <c r="A16" s="7" t="s">
        <v>23</v>
      </c>
      <c r="B16" s="1"/>
      <c r="C16" s="1" t="n">
        <f aca="false">C5-C15*$B5</f>
        <v>0.00119443404003407</v>
      </c>
      <c r="D16" s="1" t="n">
        <f aca="false">D5-D15*$B5</f>
        <v>0.00273338263010632</v>
      </c>
      <c r="E16" s="1" t="n">
        <f aca="false">E5-E15*$B5</f>
        <v>0.000170626446571841</v>
      </c>
      <c r="F16" s="1" t="n">
        <f aca="false">F5-F15*$B5</f>
        <v>0.00125181827718603</v>
      </c>
    </row>
    <row r="18" customFormat="false" ht="14.9" hidden="false" customHeight="false" outlineLevel="0" collapsed="false">
      <c r="A18" s="9" t="s">
        <v>24</v>
      </c>
    </row>
    <row r="20" customFormat="false" ht="13.8" hidden="false" customHeight="false" outlineLevel="0" collapsed="false">
      <c r="A20" s="5" t="s">
        <v>22</v>
      </c>
      <c r="B20" s="11"/>
      <c r="C20" s="11" t="n">
        <f aca="false">SLOPE('Excess returns'!C2:C241,'Excess returns'!$B2:$B241)</f>
        <v>0.832853082541892</v>
      </c>
      <c r="D20" s="11" t="n">
        <f aca="false">SLOPE('Excess returns'!D2:D241,'Excess returns'!$B2:$B241)</f>
        <v>0.514145549152906</v>
      </c>
      <c r="E20" s="11" t="n">
        <f aca="false">SLOPE('Excess returns'!E2:E241,'Excess returns'!$B2:$B241)</f>
        <v>0.0681666018054471</v>
      </c>
      <c r="F20" s="11" t="n">
        <f aca="false">SLOPE('Excess returns'!F2:F241,'Excess returns'!$B2:$B241)</f>
        <v>-0.00263927451603546</v>
      </c>
    </row>
    <row r="21" customFormat="false" ht="13.8" hidden="false" customHeight="false" outlineLevel="0" collapsed="false">
      <c r="A21" s="5" t="s">
        <v>23</v>
      </c>
      <c r="B21" s="13"/>
      <c r="C21" s="14" t="n">
        <f aca="false">INTERCEPT('Excess returns'!C2:C241,'Excess returns'!$B2:$B241)</f>
        <v>0.00119443404003406</v>
      </c>
      <c r="D21" s="14" t="n">
        <f aca="false">INTERCEPT('Excess returns'!D2:D241,'Excess returns'!$B2:$B241)</f>
        <v>0.00273338263010632</v>
      </c>
      <c r="E21" s="14" t="n">
        <f aca="false">INTERCEPT('Excess returns'!E2:E241,'Excess returns'!$B2:$B241)</f>
        <v>0.000170626446571841</v>
      </c>
      <c r="F21" s="14" t="n">
        <f aca="false">INTERCEPT('Excess returns'!F2:F241,'Excess returns'!$B2:$B241)</f>
        <v>0.00125181827718603</v>
      </c>
    </row>
    <row r="23" customFormat="false" ht="13.8" hidden="false" customHeight="false" outlineLevel="0" collapsed="false">
      <c r="A23" s="9" t="s">
        <v>25</v>
      </c>
    </row>
    <row r="24" customFormat="false" ht="13.8" hidden="false" customHeight="false" outlineLevel="0" collapsed="false">
      <c r="A24" s="9" t="s">
        <v>26</v>
      </c>
    </row>
    <row r="26" customFormat="false" ht="13.8" hidden="false" customHeight="false" outlineLevel="0" collapsed="false">
      <c r="A26" s="5" t="s">
        <v>27</v>
      </c>
      <c r="C26" s="11" t="n">
        <f aca="false">SQRT( C6^2 - C20^2*$B6^2)</f>
        <v>0.0491650709186398</v>
      </c>
      <c r="D26" s="11" t="n">
        <f aca="false">SQRT( D6^2 - D20^2*$B6^2)</f>
        <v>0.0325436536816381</v>
      </c>
      <c r="E26" s="11" t="n">
        <f aca="false">SQRT( E6^2 - E20^2*$B6^2)</f>
        <v>0.00683514780499096</v>
      </c>
      <c r="F26" s="11" t="n">
        <f aca="false">SQRT( F6^2 - F20^2*$B6^2)</f>
        <v>0.0169622820589233</v>
      </c>
    </row>
    <row r="27" customFormat="false" ht="13.8" hidden="false" customHeight="false" outlineLevel="0" collapsed="false">
      <c r="A27" s="7" t="s">
        <v>28</v>
      </c>
      <c r="C27" s="11" t="n">
        <f aca="false">C21/C26</f>
        <v>0.0242943621908053</v>
      </c>
      <c r="D27" s="11" t="n">
        <f aca="false">D21/D26</f>
        <v>0.0839912646823844</v>
      </c>
      <c r="E27" s="11" t="n">
        <f aca="false">E21/E26</f>
        <v>0.024963095376994</v>
      </c>
      <c r="F27" s="11" t="n">
        <f aca="false">F21/F26</f>
        <v>0.0738001097280121</v>
      </c>
    </row>
    <row r="28" customFormat="false" ht="13.8" hidden="false" customHeight="false" outlineLevel="0" collapsed="false">
      <c r="A28" s="7" t="s">
        <v>29</v>
      </c>
      <c r="C28" s="11" t="n">
        <f aca="false">SQRT($B7^2+C27^2)</f>
        <v>0.181608041411175</v>
      </c>
      <c r="D28" s="11" t="n">
        <f aca="false">SQRT($B7^2+D27^2)</f>
        <v>0.19860966042439</v>
      </c>
      <c r="E28" s="11" t="n">
        <f aca="false">SQRT($B7^2+E27^2)</f>
        <v>0.181698708860977</v>
      </c>
      <c r="F28" s="11" t="n">
        <f aca="false">SQRT($B7^2+F27^2)</f>
        <v>0.194519204365049</v>
      </c>
    </row>
    <row r="30" customFormat="false" ht="13.8" hidden="false" customHeight="false" outlineLevel="0" collapsed="false">
      <c r="A30" s="9" t="s">
        <v>30</v>
      </c>
    </row>
    <row r="31" customFormat="false" ht="13.8" hidden="false" customHeight="false" outlineLevel="0" collapsed="false">
      <c r="A31" s="9" t="s">
        <v>31</v>
      </c>
    </row>
    <row r="32" customFormat="false" ht="13.8" hidden="false" customHeight="false" outlineLevel="0" collapsed="false">
      <c r="A32" s="9" t="s">
        <v>32</v>
      </c>
    </row>
    <row r="33" customFormat="false" ht="13.8" hidden="false" customHeight="false" outlineLevel="0" collapsed="false">
      <c r="A33" s="9" t="s">
        <v>33</v>
      </c>
    </row>
    <row r="34" customFormat="false" ht="13.8" hidden="false" customHeight="false" outlineLevel="0" collapsed="false">
      <c r="D34" s="15" t="s">
        <v>34</v>
      </c>
    </row>
    <row r="35" customFormat="false" ht="13.8" hidden="false" customHeight="false" outlineLevel="0" collapsed="false">
      <c r="A35" s="5" t="s">
        <v>35</v>
      </c>
      <c r="B35" s="1" t="n">
        <f aca="false">AVERAGE('Excess returns'!H2:H241)</f>
        <v>0.0039875180766918</v>
      </c>
      <c r="D35" s="16" t="n">
        <f aca="false">0.5*F5+0.5*D5</f>
        <v>0.0039875180766918</v>
      </c>
    </row>
    <row r="36" customFormat="false" ht="13.8" hidden="false" customHeight="false" outlineLevel="0" collapsed="false">
      <c r="A36" s="7" t="s">
        <v>36</v>
      </c>
      <c r="B36" s="13" t="n">
        <f aca="false">STDEV('Excess returns'!H2:H241)</f>
        <v>0.0216815031905883</v>
      </c>
      <c r="D36" s="16" t="n">
        <f aca="false">SQRT( 0.5^2*F6^2 + 0.5^2*D6^2 + 2*0.5*0.5*F6*D6*CORREL('Excess returns'!F2:F241,'Excess returns'!D2:D241))</f>
        <v>0.0216815031905883</v>
      </c>
    </row>
    <row r="37" customFormat="false" ht="13.8" hidden="false" customHeight="false" outlineLevel="0" collapsed="false">
      <c r="A37" s="5" t="s">
        <v>37</v>
      </c>
      <c r="B37" s="11" t="n">
        <f aca="false">CORREL('Excess returns'!H2:H241,'Excess returns'!B2:B241)</f>
        <v>0.511236232534242</v>
      </c>
    </row>
    <row r="39" customFormat="false" ht="13.8" hidden="false" customHeight="false" outlineLevel="0" collapsed="false">
      <c r="A39" s="7" t="s">
        <v>38</v>
      </c>
      <c r="B39" s="11" t="n">
        <f aca="false">B37*B36/B6</f>
        <v>0.255753137318436</v>
      </c>
      <c r="D39" s="17" t="n">
        <f aca="false">0.5*F15+0.5*D15</f>
        <v>0.255753137318435</v>
      </c>
    </row>
    <row r="40" customFormat="false" ht="13.8" hidden="false" customHeight="false" outlineLevel="0" collapsed="false">
      <c r="A40" s="7" t="s">
        <v>39</v>
      </c>
      <c r="B40" s="11" t="n">
        <f aca="false">SLOPE('Excess returns'!H2:H241,'Excess returns'!B2:B241)</f>
        <v>0.255753137318436</v>
      </c>
    </row>
    <row r="41" customFormat="false" ht="13.8" hidden="false" customHeight="false" outlineLevel="0" collapsed="false">
      <c r="A41" s="7" t="s">
        <v>40</v>
      </c>
      <c r="B41" s="1" t="n">
        <f aca="false">B35-B39*B5</f>
        <v>0.00199260045364618</v>
      </c>
      <c r="D41" s="16" t="n">
        <f aca="false">D35 - D39*B5</f>
        <v>0.00199260045364618</v>
      </c>
    </row>
    <row r="42" customFormat="false" ht="13.8" hidden="false" customHeight="false" outlineLevel="0" collapsed="false">
      <c r="A42" s="7" t="s">
        <v>41</v>
      </c>
      <c r="B42" s="13" t="n">
        <f aca="false">INTERCEPT('Excess returns'!H2:H241,'Excess returns'!B2:B241)</f>
        <v>0.00199260045364618</v>
      </c>
    </row>
    <row r="43" customFormat="false" ht="13.8" hidden="false" customHeight="false" outlineLevel="0" collapsed="false">
      <c r="A43" s="7" t="s">
        <v>42</v>
      </c>
      <c r="B43" s="11" t="n">
        <f aca="false">SQRT(B36^2-B39^2*B6^2)</f>
        <v>0.0186339561595238</v>
      </c>
      <c r="D43" s="17" t="n">
        <f aca="false">SQRT( D36^2 - D39^2*B6^2)</f>
        <v>0.0186339561595238</v>
      </c>
    </row>
    <row r="45" customFormat="false" ht="13.8" hidden="false" customHeight="false" outlineLevel="0" collapsed="false">
      <c r="A45" s="7" t="s">
        <v>43</v>
      </c>
      <c r="B45" s="11" t="n">
        <f aca="false">B42/B43</f>
        <v>0.106933838235299</v>
      </c>
      <c r="D45" s="17" t="n">
        <f aca="false">D41/D43</f>
        <v>0.106933838235299</v>
      </c>
    </row>
    <row r="46" customFormat="false" ht="13.8" hidden="false" customHeight="false" outlineLevel="0" collapsed="false">
      <c r="A46" s="5" t="s">
        <v>44</v>
      </c>
      <c r="B46" s="18" t="n">
        <f aca="false">SQRT(B7^2+B45^2)</f>
        <v>0.209346866302504</v>
      </c>
      <c r="D46" s="19" t="n">
        <f aca="false">SQRT(D45^2+B7^2)</f>
        <v>0.209346866302504</v>
      </c>
    </row>
    <row r="48" customFormat="false" ht="13.8" hidden="false" customHeight="false" outlineLevel="0" collapsed="false">
      <c r="A48" s="20" t="s">
        <v>45</v>
      </c>
    </row>
    <row r="50" customFormat="false" ht="13.8" hidden="false" customHeight="false" outlineLevel="0" collapsed="false">
      <c r="A50" s="5" t="s">
        <v>46</v>
      </c>
    </row>
    <row r="51" customFormat="false" ht="13.8" hidden="false" customHeight="false" outlineLevel="0" collapsed="false">
      <c r="B51" s="5" t="s">
        <v>9</v>
      </c>
      <c r="C51" s="5" t="s">
        <v>47</v>
      </c>
    </row>
    <row r="52" customFormat="false" ht="13.8" hidden="false" customHeight="false" outlineLevel="0" collapsed="false">
      <c r="A52" s="21" t="s">
        <v>9</v>
      </c>
      <c r="B52" s="18" t="n">
        <f aca="false">B6^2</f>
        <v>0.00187836544072579</v>
      </c>
      <c r="C52" s="18" t="n">
        <f aca="false">B37*B36*B6</f>
        <v>0.000480397854496146</v>
      </c>
    </row>
    <row r="53" customFormat="false" ht="13.8" hidden="false" customHeight="false" outlineLevel="0" collapsed="false">
      <c r="A53" s="21" t="s">
        <v>47</v>
      </c>
      <c r="B53" s="22" t="n">
        <f aca="false">B37*B36*B6</f>
        <v>0.000480397854496146</v>
      </c>
      <c r="C53" s="18" t="n">
        <f aca="false">B36^2</f>
        <v>0.000470087580603491</v>
      </c>
    </row>
    <row r="54" customFormat="false" ht="13.8" hidden="false" customHeight="false" outlineLevel="0" collapsed="false">
      <c r="A54" s="23" t="s">
        <v>48</v>
      </c>
    </row>
    <row r="55" customFormat="false" ht="13.8" hidden="false" customHeight="false" outlineLevel="0" collapsed="false">
      <c r="A55" s="21" t="s">
        <v>9</v>
      </c>
      <c r="B55" s="1" t="n">
        <f aca="false">B5</f>
        <v>0.00780016872505368</v>
      </c>
    </row>
    <row r="56" customFormat="false" ht="13.8" hidden="false" customHeight="false" outlineLevel="0" collapsed="false">
      <c r="A56" s="21" t="s">
        <v>47</v>
      </c>
      <c r="B56" s="1" t="n">
        <f aca="false">B35</f>
        <v>0.0039875180766918</v>
      </c>
    </row>
    <row r="57" customFormat="false" ht="13.8" hidden="false" customHeight="false" outlineLevel="0" collapsed="false">
      <c r="A57" s="5" t="s">
        <v>49</v>
      </c>
    </row>
    <row r="58" customFormat="false" ht="13.8" hidden="false" customHeight="false" outlineLevel="0" collapsed="false">
      <c r="A58" s="21" t="s">
        <v>9</v>
      </c>
      <c r="B58" s="18" t="n">
        <f aca="false" t="array" ref="B58:B59">MMULT( MINVERSE(B52:C53), B55:B56 )</f>
        <v>2.6849574944591</v>
      </c>
    </row>
    <row r="59" customFormat="false" ht="13.8" hidden="false" customHeight="false" outlineLevel="0" collapsed="false">
      <c r="A59" s="21" t="s">
        <v>47</v>
      </c>
      <c r="B59" s="18" t="n">
        <v>5.73865460022805</v>
      </c>
    </row>
    <row r="60" customFormat="false" ht="13.8" hidden="false" customHeight="false" outlineLevel="0" collapsed="false">
      <c r="A60" s="5" t="s">
        <v>50</v>
      </c>
    </row>
    <row r="61" customFormat="false" ht="13.8" hidden="false" customHeight="false" outlineLevel="0" collapsed="false">
      <c r="A61" s="21" t="s">
        <v>9</v>
      </c>
      <c r="B61" s="1" t="n">
        <f aca="false">B58/(B58+B59)</f>
        <v>0.318741825273807</v>
      </c>
    </row>
    <row r="62" customFormat="false" ht="13.8" hidden="false" customHeight="false" outlineLevel="0" collapsed="false">
      <c r="A62" s="21" t="s">
        <v>47</v>
      </c>
      <c r="B62" s="1" t="n">
        <f aca="false">B59/(B58+B59)</f>
        <v>0.681258174726193</v>
      </c>
    </row>
    <row r="63" customFormat="false" ht="13.8" hidden="false" customHeight="false" outlineLevel="0" collapsed="false">
      <c r="A63" s="21"/>
    </row>
    <row r="64" customFormat="false" ht="13.8" hidden="false" customHeight="false" outlineLevel="0" collapsed="false">
      <c r="A64" s="20" t="s">
        <v>51</v>
      </c>
    </row>
    <row r="65" customFormat="false" ht="13.8" hidden="false" customHeight="false" outlineLevel="0" collapsed="false">
      <c r="A65" s="5" t="s">
        <v>15</v>
      </c>
      <c r="B65" s="1" t="n">
        <f aca="false">B61*B55 + B62*B56</f>
        <v>0.00520276930348203</v>
      </c>
    </row>
    <row r="66" customFormat="false" ht="13.8" hidden="false" customHeight="false" outlineLevel="0" collapsed="false">
      <c r="A66" s="5" t="s">
        <v>16</v>
      </c>
      <c r="B66" s="1" t="n">
        <f aca="false" t="array" ref="B66:B66">SQRT(MMULT( MMULT( TRANSPOSE( B61:B62 ), B52:C53 ), B61:B62 ) )</f>
        <v>0.0248523868323116</v>
      </c>
    </row>
    <row r="67" customFormat="false" ht="13.8" hidden="false" customHeight="false" outlineLevel="0" collapsed="false">
      <c r="A67" s="5" t="s">
        <v>52</v>
      </c>
      <c r="B67" s="18" t="n">
        <f aca="false">B65/B66</f>
        <v>0.209346866302504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2025-10-17T04:15:22Z</dcterms:created>
  <dc:creator/>
  <dc:description/>
  <dc:language>en-US</dc:language>
  <cp:lastModifiedBy/>
  <dcterms:modified xsi:type="dcterms:W3CDTF">2025-11-17T20:05:09Z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